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Controlled values" sheetId="4" state="visible" r:id="rId4"/>
    <sheet xmlns:r="http://schemas.openxmlformats.org/officeDocument/2006/relationships" name="Vocabularies" sheetId="5" state="visible" r:id="rId5"/>
    <sheet xmlns:r="http://schemas.openxmlformats.org/officeDocument/2006/relationships" name="Versions" sheetId="6" state="visible" r:id="rId6"/>
    <sheet xmlns:r="http://schemas.openxmlformats.org/officeDocument/2006/relationships" name="PREMIS counts" sheetId="7" state="visible" r:id="rId7"/>
    <sheet xmlns:r="http://schemas.openxmlformats.org/officeDocument/2006/relationships" name="Files" sheetId="8" state="visible" r:id="rId8"/>
    <sheet xmlns:r="http://schemas.openxmlformats.org/officeDocument/2006/relationships" name="Workflow" sheetId="9" state="visible" r:id="rId9"/>
    <sheet xmlns:r="http://schemas.openxmlformats.org/officeDocument/2006/relationships" name="Implementation 2026-10-15" sheetId="10" state="visible" r:id="rId10"/>
  </sheets>
  <definedNames>
    <definedName name="_xlnm._FilterDatabase" localSheetId="2" hidden="1">'Findings'!$A$1:$N$68</definedName>
    <definedName name="_xlnm._FilterDatabase" localSheetId="3" hidden="1">'Controlled values'!$A$1:$G$31</definedName>
    <definedName name="_xlnm._FilterDatabase" localSheetId="4" hidden="1">'Vocabularies'!$A$1:$G$14</definedName>
    <definedName name="_xlnm._FilterDatabase" localSheetId="9" hidden="1">'Implementation 2026-10-15'!$A$1:$D$68</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i val="1"/>
      <sz val="9"/>
    </font>
    <font>
      <name val="Arial"/>
      <charset val="1"/>
      <family val="0"/>
      <color rgb="FF0563C1"/>
      <sz val="10"/>
      <u val="single"/>
    </font>
    <font>
      <name val="Arial"/>
      <charset val="1"/>
      <family val="0"/>
      <b val="1"/>
      <sz val="11"/>
    </font>
    <font>
      <name val="Arial"/>
      <charset val="1"/>
      <family val="0"/>
      <i val="1"/>
      <sz val="10"/>
    </font>
    <font>
      <name val="Consolas"/>
      <charset val="1"/>
      <family val="0"/>
      <sz val="9"/>
    </font>
    <font>
      <b val="1"/>
      <color rgb="00FFFFFF"/>
    </font>
  </fonts>
  <fills count="5">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0024406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top" wrapText="1"/>
    </xf>
    <xf numFmtId="0" fontId="13" fillId="4"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hyperlink" Target="https://id.loc.gov/vocabulary/preservation/cryptographicHashFunctions.html" TargetMode="External" Id="rId1"/><Relationship Type="http://schemas.openxmlformats.org/officeDocument/2006/relationships/hyperlink" Target="https://id.loc.gov/vocabulary/preservation/formatRegistryRole.html" TargetMode="External" Id="rId2"/><Relationship Type="http://schemas.openxmlformats.org/officeDocument/2006/relationships/hyperlink" Target="https://id.loc.gov/vocabulary/preservation/relationshipType.html" TargetMode="External" Id="rId3"/><Relationship Type="http://schemas.openxmlformats.org/officeDocument/2006/relationships/hyperlink" Target="https://id.loc.gov/vocabulary/preservation/relationshipSubType.html" TargetMode="External" Id="rId4"/><Relationship Type="http://schemas.openxmlformats.org/officeDocument/2006/relationships/hyperlink" Target="https://id.loc.gov/vocabulary/preservation/eventType.html" TargetMode="External" Id="rId5"/><Relationship Type="http://schemas.openxmlformats.org/officeDocument/2006/relationships/hyperlink" Target="https://id.loc.gov/vocabulary/preservation/eventOutcome.html" TargetMode="External" Id="rId6"/><Relationship Type="http://schemas.openxmlformats.org/officeDocument/2006/relationships/hyperlink" Target="https://id.loc.gov/vocabulary/preservation/eventRelatedAgentRole.html" TargetMode="External" Id="rId7"/><Relationship Type="http://schemas.openxmlformats.org/officeDocument/2006/relationships/hyperlink" Target="https://id.loc.gov/vocabulary/preservation/eventRelatedObjectRole.html" TargetMode="External" Id="rId8"/><Relationship Type="http://schemas.openxmlformats.org/officeDocument/2006/relationships/hyperlink" Target="https://id.loc.gov/vocabulary/preservation/agentType.html" TargetMode="External" Id="rId9"/><Relationship Type="http://schemas.openxmlformats.org/officeDocument/2006/relationships/hyperlink" Target="https://id.loc.gov/vocabulary/preservation/objectCategory.html" TargetMode="External" Id="rId10"/><Relationship Type="http://schemas.openxmlformats.org/officeDocument/2006/relationships/hyperlink" Target="https://id.loc.gov/vocabulary/preservation/linkingAgentRoleEvent.html" TargetMode="External" Id="rId11"/><Relationship Type="http://schemas.openxmlformats.org/officeDocument/2006/relationships/hyperlink" Target="https://www.nationalarchives.gov.uk/PRONOM/" TargetMode="External" Id="rId12"/></Relationships>
</file>

<file path=xl/worksheets/sheet1.xml><?xml version="1.0" encoding="utf-8"?>
<worksheet xmlns="http://schemas.openxmlformats.org/spreadsheetml/2006/main">
  <sheetPr filterMode="0">
    <outlinePr summaryBelow="1" summaryRight="1"/>
    <pageSetUpPr fitToPage="0"/>
  </sheetPr>
  <dimension ref="A1:B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 min="1" max="1"/>
    <col width="100" customWidth="1" style="16" min="2" max="2"/>
  </cols>
  <sheetData>
    <row r="1" ht="18" customHeight="1" s="17">
      <c r="A1" s="18" t="inlineStr">
        <is>
          <t>PREMIS conformance review — 2026_011922_premis.xml</t>
        </is>
      </c>
    </row>
    <row r="3" ht="34.5" customHeight="1" s="17">
      <c r="A3" s="19" t="inlineStr">
        <is>
          <t>Project</t>
        </is>
      </c>
      <c r="B3" s="20" t="inlineStr">
        <is>
          <t>PoC - Digital Preservation Repository Workflow</t>
        </is>
      </c>
    </row>
    <row r="4" ht="45" customHeight="1" s="17">
      <c r="A4" s="19" t="inlineStr">
        <is>
          <t>Author</t>
        </is>
      </c>
      <c r="B4" s="20" t="inlineStr">
        <is>
          <t>Torsten Fratzke</t>
        </is>
      </c>
    </row>
    <row r="5" ht="15" customHeight="1" s="17">
      <c r="A5" s="19" t="inlineStr">
        <is>
          <t>UUID</t>
        </is>
      </c>
      <c r="B5" s="20" t="inlineStr">
        <is>
          <t>99c556fc-bfec-4adc-932d-e0eea9c4be36 (document identity: minted once, permanent across editions; not entered in the UUID registry, which holds repository entities only)</t>
        </is>
      </c>
    </row>
    <row r="6" ht="25.5" customHeight="1" s="17">
      <c r="A6" s="19" t="inlineStr">
        <is>
          <t>Version</t>
        </is>
      </c>
      <c r="B6" s="20" t="inlineStr">
        <is>
          <t>v1.0</t>
        </is>
      </c>
    </row>
    <row r="7" ht="25.5" customHeight="1" s="17">
      <c r="A7" s="19" t="inlineStr">
        <is>
          <t>Status</t>
        </is>
      </c>
      <c r="B7" s="20" t="inlineStr">
        <is>
          <t>Issued</t>
        </is>
      </c>
    </row>
    <row r="8" ht="15" customHeight="1" s="17">
      <c r="A8" s="19" t="inlineStr">
        <is>
          <t>Created</t>
        </is>
      </c>
      <c r="B8" s="20" t="inlineStr">
        <is>
          <t>2026-10-09</t>
        </is>
      </c>
    </row>
    <row r="9" ht="23.25" customHeight="1" s="17">
      <c r="A9" s="19" t="inlineStr">
        <is>
          <t>Modified</t>
        </is>
      </c>
      <c r="B9" s="20" t="inlineStr">
        <is>
          <t>2026-10-12</t>
        </is>
      </c>
    </row>
    <row r="10" ht="25.5" customHeight="1" s="17">
      <c r="A10" s="19" t="n"/>
      <c r="B10" s="20" t="n"/>
    </row>
    <row r="11" ht="25.5" customHeight="1" s="17">
      <c r="A11" s="19" t="inlineStr">
        <is>
          <t>Reviewed file</t>
        </is>
      </c>
      <c r="B11" s="20" t="inlineStr">
        <is>
          <t>2026_011922_premis.xml, v1 (PoC output, events dated 2026-10-09), in the context of the full OCFL object 2026_011922 (v1–v3). F001–F059 review the v1 file; they apply equally to v2 and v3 (F064). F060–F067 and the Versions tab review the object across versions.</t>
        </is>
      </c>
    </row>
    <row r="12" ht="60" customHeight="1" s="17">
      <c r="A12" s="19" t="inlineStr">
        <is>
          <t>Source package</t>
        </is>
      </c>
      <c r="B12" s="20" t="inlineStr">
        <is>
          <t>L:\Restricted\Library\09_Team\Fratzke\Projects\dol_dpr_workflow_review_packages\2026_011922\2026_011922_v3_20261009_reviewed20261012.zip — OCFL object 2026_011922 at head v3 (v1–v3), v3 committed 2026-10-09T13:14:13Z. Frozen copy, outside the Git repository. SHA-512: a55c729bf61fc96ad5010c89418e99ae299ce59b166cec9f0e24e20abff85e00f6a6816a210e2f60cd81b9bda3fd27d4f371b6d267a004f216e1506f0f14ff85 (567,687 bytes).</t>
        </is>
      </c>
    </row>
    <row r="13" ht="15" customHeight="1" s="17">
      <c r="A13" s="19" t="inlineStr">
        <is>
          <t>Against</t>
        </is>
      </c>
      <c r="B13" s="20" t="inlineStr">
        <is>
          <t>PREMIS preservation metadata — profile, v0.4 (Draft, not issued), modified 2026-10-12; rule texts as in its final state of that date.</t>
        </is>
      </c>
    </row>
    <row r="14" ht="15" customHeight="1" s="17">
      <c r="A14" s="19" t="inlineStr">
        <is>
          <t>Review date</t>
        </is>
      </c>
      <c r="B14" s="20" t="inlineStr">
        <is>
          <t>2026-10-09; revised 2026-10-12.</t>
        </is>
      </c>
    </row>
    <row r="15" ht="15" customHeight="1" s="17">
      <c r="A15" s="19" t="inlineStr">
        <is>
          <t>Method</t>
        </is>
      </c>
      <c r="B15" s="20" t="inlineStr">
        <is>
          <t>By inspection against the profile. Schema validity checked with lxml and xmllint against premis-v3-0.xsd (valid, F004). Byte checks: encoding, line endings, NFC, UUID versions. OCFL object checked in full: inventory and sidecars of every version, manifest against disk, PREMIS and METS digests against the inventory (F059), file digests across versions (Versions tab). Controlled values checked against the LoC Preservation Vocabularies on id.loc.gov on 2026-10-12 (Controlled values and Vocabularies tabs). The OCFL commit records (inventory user and message) are reviewed separately (2026_011922_ocfl_inventory_review.txt).</t>
        </is>
      </c>
    </row>
    <row r="16" ht="15" customHeight="1" s="17">
      <c r="A16" s="19" t="inlineStr">
        <is>
          <t>Verdict</t>
        </is>
      </c>
      <c r="B16" s="20" t="inlineStr">
        <is>
          <t>Schema-valid, but does not conform to the profile. Gaps are structural: identity model (the intellectual entity typed as representation, no representations), published PDF and derivation, event vocabulary, agents, and the ingest side's events. Across versions, PREMIS is regenerated rather than appended, superseded files are not described, and unchanged language versions are converted again in every version. Several of these follow from the developer's design (Workflow Documentation v2.5), not only from the code: see the Workflow tab.</t>
        </is>
      </c>
    </row>
    <row r="17" ht="15" customHeight="1" s="17">
      <c r="A17" s="19" t="n"/>
      <c r="B17" s="20" t="n"/>
    </row>
    <row r="18" ht="15" customHeight="1" s="17">
      <c r="A18" s="19" t="inlineStr">
        <is>
          <t>Columns to edit</t>
        </is>
      </c>
      <c r="B18" s="20" t="inlineStr">
        <is>
          <t>Owner, Status and Response (shaded) on the Findings sheet. All other columns are the review. Owner: EG (developer) on every finding the Python writer acts on; blank on Profile issues (profile owner) and on findings closed in review.</t>
        </is>
      </c>
    </row>
    <row r="19" ht="15" customHeight="1" s="17">
      <c r="A19" s="19" t="inlineStr">
        <is>
          <t>Fix</t>
        </is>
      </c>
      <c r="B19" s="20" t="inlineStr">
        <is>
          <t>The concrete change to make in the Python writer for this file, or, for questions and profile issues, what has to be answered or decided first. Placeholders in [brackets] stand for values the pipeline mints or the registry supplies.</t>
        </is>
      </c>
    </row>
    <row r="20" ht="15" customHeight="1" s="17">
      <c r="A20" s="19" t="inlineStr">
        <is>
          <t>Rule text</t>
        </is>
      </c>
      <c r="B20" s="20" t="inlineStr">
        <is>
          <t>The wording of each cited rule, copied from profile v0.4: requirement ID, name, level and cardinality, then the location and the rule.</t>
        </is>
      </c>
    </row>
    <row r="21" ht="15" customHeight="1" s="17">
      <c r="A21" s="19" t="n"/>
      <c r="B21" s="20" t="n"/>
    </row>
    <row r="22" ht="15" customHeight="1" s="17">
      <c r="A22" s="19" t="inlineStr">
        <is>
          <t>Type</t>
        </is>
      </c>
      <c r="B22" s="20" t="n"/>
    </row>
    <row r="23" ht="15" customHeight="1" s="17">
      <c r="A23" s="19" t="inlineStr">
        <is>
          <t>Non-conformance</t>
        </is>
      </c>
      <c r="B23" s="20" t="inlineStr">
        <is>
          <t>Fails a requirement of the profile.</t>
        </is>
      </c>
    </row>
    <row r="24" ht="15" customHeight="1" s="17">
      <c r="A24" s="19" t="inlineStr">
        <is>
          <t>Suspected defect</t>
        </is>
      </c>
      <c r="B24" s="20" t="inlineStr">
        <is>
          <t>Looks like a defect in the PoC rather than a profile gap; needs the developer's explanation.</t>
        </is>
      </c>
    </row>
    <row r="25" ht="15" customHeight="1" s="17">
      <c r="A25" s="19" t="inlineStr">
        <is>
          <t>Question</t>
        </is>
      </c>
      <c r="B25" s="20" t="inlineStr">
        <is>
          <t>Cannot be judged without information the review did not have.</t>
        </is>
      </c>
    </row>
    <row r="26" ht="15" customHeight="1" s="17">
      <c r="A26" s="19" t="inlineStr">
        <is>
          <t>Profile issue</t>
        </is>
      </c>
      <c r="B26" s="20" t="inlineStr">
        <is>
          <t>A problem in the profile itself, to fix in the next edition.</t>
        </is>
      </c>
    </row>
    <row r="27" ht="15" customHeight="1" s="17">
      <c r="A27" s="19" t="n"/>
      <c r="B27" s="20" t="n"/>
    </row>
    <row r="28" ht="15" customHeight="1" s="17">
      <c r="A28" s="19" t="inlineStr">
        <is>
          <t>Dependency</t>
        </is>
      </c>
      <c r="B28" s="20" t="inlineStr">
        <is>
          <t>"None — fixable now", or the open item / registry that must be settled first.</t>
        </is>
      </c>
    </row>
    <row r="29" ht="15" customHeight="1" s="17">
      <c r="A29" s="19" t="n"/>
      <c r="B29" s="20" t="n"/>
    </row>
    <row r="30" ht="45.75" customHeight="1" s="17">
      <c r="A30" s="19" t="inlineStr">
        <is>
          <t>Status</t>
        </is>
      </c>
      <c r="B30" s="20" t="n"/>
    </row>
    <row r="31" ht="23.25" customHeight="1" s="17">
      <c r="A31" s="19" t="inlineStr">
        <is>
          <t>Open</t>
        </is>
      </c>
      <c r="B31" s="20" t="inlineStr">
        <is>
          <t>Not yet addressed (default).</t>
        </is>
      </c>
    </row>
    <row r="32" ht="23.25" customHeight="1" s="17">
      <c r="A32" s="19" t="inlineStr">
        <is>
          <t>In progress</t>
        </is>
      </c>
      <c r="B32" s="20" t="inlineStr">
        <is>
          <t>Being worked on.</t>
        </is>
      </c>
    </row>
    <row r="33" ht="23.25" customHeight="1" s="17">
      <c r="A33" s="19" t="inlineStr">
        <is>
          <t>Fixed</t>
        </is>
      </c>
      <c r="B33" s="20" t="inlineStr">
        <is>
          <t>Fixed in the Python writer; confirm on the next PoC output.</t>
        </is>
      </c>
    </row>
    <row r="34" ht="15" customHeight="1" s="17">
      <c r="A34" s="19" t="inlineStr">
        <is>
          <t>Deferred</t>
        </is>
      </c>
      <c r="B34" s="20" t="inlineStr">
        <is>
          <t>Waits on its dependency.</t>
        </is>
      </c>
    </row>
    <row r="35" ht="15" customHeight="1" s="17">
      <c r="A35" s="19" t="inlineStr">
        <is>
          <t>Not accepted</t>
        </is>
      </c>
      <c r="B35" s="20" t="inlineStr">
        <is>
          <t>Disputed; reason in Response.</t>
        </is>
      </c>
    </row>
    <row r="36" ht="15" customHeight="1" s="17">
      <c r="A36" s="19" t="inlineStr">
        <is>
          <t>Closed</t>
        </is>
      </c>
      <c r="B36" s="20" t="inlineStr">
        <is>
          <t>Resolved in the review itself; no action for the Python writer.</t>
        </is>
      </c>
    </row>
    <row r="37" ht="45.75" customHeight="1" s="17"/>
    <row r="38" ht="23.25" customHeight="1" s="17">
      <c r="A38" s="19" t="inlineStr">
        <is>
          <t>Tabs</t>
        </is>
      </c>
    </row>
    <row r="39" ht="23.25" customHeight="1" s="17">
      <c r="A39" s="19" t="inlineStr">
        <is>
          <t>Summary</t>
        </is>
      </c>
      <c r="B39" s="20" t="inlineStr">
        <is>
          <t>Counts of findings by area and type, with how many are fixable now and how many are open; calculated from the Findings sheet.</t>
        </is>
      </c>
    </row>
    <row r="40" ht="23.25" customHeight="1" s="17">
      <c r="A40" s="19" t="inlineStr">
        <is>
          <t>Findings</t>
        </is>
      </c>
      <c r="B40" s="20" t="inlineStr">
        <is>
          <t>One row per finding, F001–F067, with the rule it is judged against, what was found, what is required, the fix, and Owner, Status and Response for the developer (columns described above).</t>
        </is>
      </c>
    </row>
    <row r="41" ht="23.25" customHeight="1" s="17">
      <c r="A41" s="19" t="inlineStr">
        <is>
          <t>Controlled values</t>
        </is>
      </c>
      <c r="B41" s="20" t="inlineStr">
        <is>
          <t>One row per controlled value the profile writes, with @authority, @authorityURI and @valueURI as the writer is to output them, and what the PoC writes now. Copied from profile v0.4 Controlled vocabularies; @valueURIs checked against id.loc.gov on 2026-10-12. One header row, no merged cells: can be saved as CSV.</t>
        </is>
      </c>
    </row>
    <row r="42" ht="23.25" customHeight="1" s="17">
      <c r="A42" s="19" t="inlineStr">
        <is>
          <t>Vocabularies</t>
        </is>
      </c>
      <c r="B42" s="20" t="inlineStr">
        <is>
          <t>The LoC schemes behind the controlled values, with links to id.loc.gov, the elements each governs, and notes (deprecated schemes, terms not used).</t>
        </is>
      </c>
    </row>
    <row r="43" ht="23.25" customHeight="1" s="17">
      <c r="A43" s="19" t="inlineStr">
        <is>
          <t>Versions</t>
        </is>
      </c>
      <c r="B43" s="20" t="inlineStr">
        <is>
          <t>One column per OCFL version of 2026_011922, one row per fact: commit record, languages held, files added, changed and re-created from an unchanged source, and PREMIS events written and carried (F060–F062, F065–F067). Layer says whether a fact is read from the OCFL inventory or from premis.xml; Meaning says what it is and where it was read; Expected (profile v0.4) says what the profile requires, with the finding where the package departs from it.</t>
        </is>
      </c>
    </row>
    <row r="44" ht="34.5" customHeight="1" s="17">
      <c r="A44" s="19" t="inlineStr">
        <is>
          <t>PREMIS counts</t>
        </is>
      </c>
      <c r="B44" s="20" t="inlineStr">
        <is>
          <t>The objects, events and agents in each version's premis.xml: what profile v0.4 expects (new in the version, and in total with everything carried from the predecessor) and what the package contains (Found), by object kind, catalogue entry and agent role, with the finding behind each difference. Totals agree with Versions rows 10 and 11.</t>
        </is>
      </c>
    </row>
    <row r="45" ht="34.5" customHeight="1" s="17">
      <c r="A45" s="19" t="inlineStr">
        <is>
          <t>Files</t>
        </is>
      </c>
      <c r="B45" s="20" t="inlineStr">
        <is>
          <t>One row per logical path in any version of 2026_011922, with the full SHA-512 of its content in each version's inventory state ('—' where the path is not in that version), whether it is new, changed or unchanged against the previous version, and the finding that explains a change. Counts below the table agree with Versions, Files added and Files changed.</t>
        </is>
      </c>
    </row>
    <row r="46" ht="34.5" customHeight="1" s="17">
      <c r="A46" s="19" t="inlineStr">
        <is>
          <t>Workflow</t>
        </is>
      </c>
      <c r="B46" s="20" t="inlineStr">
        <is>
          <t>Questions and issues for the workflow, found in this review, set against the developer's Workflow Documentation v2.5 (2026-10-05) and profile v0.4: where the PoC's behaviour follows from the design, or the design and the profile disagree. Findings that depend on them cite the W-number.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0" customWidth="1" style="16" min="1" max="1"/>
    <col width="15" customWidth="1" style="16" min="2" max="8"/>
  </cols>
  <sheetData>
    <row r="1" ht="18" customHeight="1" s="17">
      <c r="A1" s="18" t="inlineStr">
        <is>
          <t>Summary</t>
        </is>
      </c>
    </row>
    <row r="3" ht="30" customHeight="1" s="17">
      <c r="A3" s="21" t="inlineStr">
        <is>
          <t>Area</t>
        </is>
      </c>
      <c r="B3" s="21" t="inlineStr">
        <is>
          <t>Non-conformance</t>
        </is>
      </c>
      <c r="C3" s="21" t="inlineStr">
        <is>
          <t>Suspected defect</t>
        </is>
      </c>
      <c r="D3" s="21" t="inlineStr">
        <is>
          <t>Question</t>
        </is>
      </c>
      <c r="E3" s="21" t="inlineStr">
        <is>
          <t>Profile issue</t>
        </is>
      </c>
      <c r="F3" s="21" t="inlineStr">
        <is>
          <t>Total</t>
        </is>
      </c>
      <c r="G3" s="21" t="inlineStr">
        <is>
          <t>Fixable now</t>
        </is>
      </c>
      <c r="H3" s="21" t="inlineStr">
        <is>
          <t>Open</t>
        </is>
      </c>
    </row>
    <row r="4" ht="15" customHeight="1" s="17">
      <c r="A4" s="22" t="inlineStr">
        <is>
          <t>Root</t>
        </is>
      </c>
      <c r="B4" s="23">
        <f>COUNTIFS(Findings!$B:$B,$A4,Findings!$J:$J,B$3)</f>
        <v/>
      </c>
      <c r="C4" s="23">
        <f>COUNTIFS(Findings!$B:$B,$A4,Findings!$J:$J,C$3)</f>
        <v/>
      </c>
      <c r="D4" s="23">
        <f>COUNTIFS(Findings!$B:$B,$A4,Findings!$J:$J,D$3)</f>
        <v/>
      </c>
      <c r="E4" s="23">
        <f>COUNTIFS(Findings!$B:$B,$A4,Findings!$J:$J,E$3)</f>
        <v/>
      </c>
      <c r="F4" s="23">
        <f>SUM(B4:E4)</f>
        <v/>
      </c>
      <c r="G4" s="23">
        <f>COUNTIFS(Findings!$B:$B,$A4,Findings!$K:$K,"None — fixable now")</f>
        <v/>
      </c>
      <c r="H4" s="23">
        <f>COUNTIFS(Findings!$B:$B,$A4,Findings!$M:$M,"Open")</f>
        <v/>
      </c>
    </row>
    <row r="5" ht="15" customHeight="1" s="17">
      <c r="A5" s="22" t="inlineStr">
        <is>
          <t>General</t>
        </is>
      </c>
      <c r="B5" s="23">
        <f>COUNTIFS(Findings!$B:$B,$A5,Findings!$J:$J,B$3)</f>
        <v/>
      </c>
      <c r="C5" s="23">
        <f>COUNTIFS(Findings!$B:$B,$A5,Findings!$J:$J,C$3)</f>
        <v/>
      </c>
      <c r="D5" s="23">
        <f>COUNTIFS(Findings!$B:$B,$A5,Findings!$J:$J,D$3)</f>
        <v/>
      </c>
      <c r="E5" s="23">
        <f>COUNTIFS(Findings!$B:$B,$A5,Findings!$J:$J,E$3)</f>
        <v/>
      </c>
      <c r="F5" s="23">
        <f>SUM(B5:E5)</f>
        <v/>
      </c>
      <c r="G5" s="23">
        <f>COUNTIFS(Findings!$B:$B,$A5,Findings!$K:$K,"None — fixable now")</f>
        <v/>
      </c>
      <c r="H5" s="23">
        <f>COUNTIFS(Findings!$B:$B,$A5,Findings!$M:$M,"Open")</f>
        <v/>
      </c>
    </row>
    <row r="6" ht="15" customHeight="1" s="17">
      <c r="A6" s="22" t="inlineStr">
        <is>
          <t>Intellectual entity</t>
        </is>
      </c>
      <c r="B6" s="23">
        <f>COUNTIFS(Findings!$B:$B,$A6,Findings!$J:$J,B$3)</f>
        <v/>
      </c>
      <c r="C6" s="23">
        <f>COUNTIFS(Findings!$B:$B,$A6,Findings!$J:$J,C$3)</f>
        <v/>
      </c>
      <c r="D6" s="23">
        <f>COUNTIFS(Findings!$B:$B,$A6,Findings!$J:$J,D$3)</f>
        <v/>
      </c>
      <c r="E6" s="23">
        <f>COUNTIFS(Findings!$B:$B,$A6,Findings!$J:$J,E$3)</f>
        <v/>
      </c>
      <c r="F6" s="23">
        <f>SUM(B6:E6)</f>
        <v/>
      </c>
      <c r="G6" s="23">
        <f>COUNTIFS(Findings!$B:$B,$A6,Findings!$K:$K,"None — fixable now")</f>
        <v/>
      </c>
      <c r="H6" s="23">
        <f>COUNTIFS(Findings!$B:$B,$A6,Findings!$M:$M,"Open")</f>
        <v/>
      </c>
    </row>
    <row r="7" ht="15" customHeight="1" s="17">
      <c r="A7" s="22" t="inlineStr">
        <is>
          <t>Representation</t>
        </is>
      </c>
      <c r="B7" s="23">
        <f>COUNTIFS(Findings!$B:$B,$A7,Findings!$J:$J,B$3)</f>
        <v/>
      </c>
      <c r="C7" s="23">
        <f>COUNTIFS(Findings!$B:$B,$A7,Findings!$J:$J,C$3)</f>
        <v/>
      </c>
      <c r="D7" s="23">
        <f>COUNTIFS(Findings!$B:$B,$A7,Findings!$J:$J,D$3)</f>
        <v/>
      </c>
      <c r="E7" s="23">
        <f>COUNTIFS(Findings!$B:$B,$A7,Findings!$J:$J,E$3)</f>
        <v/>
      </c>
      <c r="F7" s="23">
        <f>SUM(B7:E7)</f>
        <v/>
      </c>
      <c r="G7" s="23">
        <f>COUNTIFS(Findings!$B:$B,$A7,Findings!$K:$K,"None — fixable now")</f>
        <v/>
      </c>
      <c r="H7" s="23">
        <f>COUNTIFS(Findings!$B:$B,$A7,Findings!$M:$M,"Open")</f>
        <v/>
      </c>
    </row>
    <row r="8" ht="15" customHeight="1" s="17">
      <c r="A8" s="22" t="inlineStr">
        <is>
          <t>File</t>
        </is>
      </c>
      <c r="B8" s="23">
        <f>COUNTIFS(Findings!$B:$B,$A8,Findings!$J:$J,B$3)</f>
        <v/>
      </c>
      <c r="C8" s="23">
        <f>COUNTIFS(Findings!$B:$B,$A8,Findings!$J:$J,C$3)</f>
        <v/>
      </c>
      <c r="D8" s="23">
        <f>COUNTIFS(Findings!$B:$B,$A8,Findings!$J:$J,D$3)</f>
        <v/>
      </c>
      <c r="E8" s="23">
        <f>COUNTIFS(Findings!$B:$B,$A8,Findings!$J:$J,E$3)</f>
        <v/>
      </c>
      <c r="F8" s="23">
        <f>SUM(B8:E8)</f>
        <v/>
      </c>
      <c r="G8" s="23">
        <f>COUNTIFS(Findings!$B:$B,$A8,Findings!$K:$K,"None — fixable now")</f>
        <v/>
      </c>
      <c r="H8" s="23">
        <f>COUNTIFS(Findings!$B:$B,$A8,Findings!$M:$M,"Open")</f>
        <v/>
      </c>
    </row>
    <row r="9" ht="15" customHeight="1" s="17">
      <c r="A9" s="22" t="inlineStr">
        <is>
          <t>Event</t>
        </is>
      </c>
      <c r="B9" s="23">
        <f>COUNTIFS(Findings!$B:$B,$A9,Findings!$J:$J,B$3)</f>
        <v/>
      </c>
      <c r="C9" s="23">
        <f>COUNTIFS(Findings!$B:$B,$A9,Findings!$J:$J,C$3)</f>
        <v/>
      </c>
      <c r="D9" s="23">
        <f>COUNTIFS(Findings!$B:$B,$A9,Findings!$J:$J,D$3)</f>
        <v/>
      </c>
      <c r="E9" s="23">
        <f>COUNTIFS(Findings!$B:$B,$A9,Findings!$J:$J,E$3)</f>
        <v/>
      </c>
      <c r="F9" s="23">
        <f>SUM(B9:E9)</f>
        <v/>
      </c>
      <c r="G9" s="23">
        <f>COUNTIFS(Findings!$B:$B,$A9,Findings!$K:$K,"None — fixable now")</f>
        <v/>
      </c>
      <c r="H9" s="23">
        <f>COUNTIFS(Findings!$B:$B,$A9,Findings!$M:$M,"Open")</f>
        <v/>
      </c>
    </row>
    <row r="10" ht="15" customHeight="1" s="17">
      <c r="A10" s="22" t="inlineStr">
        <is>
          <t>Agent</t>
        </is>
      </c>
      <c r="B10" s="23">
        <f>COUNTIFS(Findings!$B:$B,$A10,Findings!$J:$J,B$3)</f>
        <v/>
      </c>
      <c r="C10" s="23">
        <f>COUNTIFS(Findings!$B:$B,$A10,Findings!$J:$J,C$3)</f>
        <v/>
      </c>
      <c r="D10" s="23">
        <f>COUNTIFS(Findings!$B:$B,$A10,Findings!$J:$J,D$3)</f>
        <v/>
      </c>
      <c r="E10" s="23">
        <f>COUNTIFS(Findings!$B:$B,$A10,Findings!$J:$J,E$3)</f>
        <v/>
      </c>
      <c r="F10" s="23">
        <f>SUM(B10:E10)</f>
        <v/>
      </c>
      <c r="G10" s="23">
        <f>COUNTIFS(Findings!$B:$B,$A10,Findings!$K:$K,"None — fixable now")</f>
        <v/>
      </c>
      <c r="H10" s="23">
        <f>COUNTIFS(Findings!$B:$B,$A10,Findings!$M:$M,"Open")</f>
        <v/>
      </c>
    </row>
    <row r="11" ht="15" customHeight="1" s="17">
      <c r="A11" s="22" t="inlineStr">
        <is>
          <t>Versions</t>
        </is>
      </c>
      <c r="B11" s="23">
        <f>COUNTIFS(Findings!$B:$B,$A11,Findings!$J:$J,B$3)</f>
        <v/>
      </c>
      <c r="C11" s="23">
        <f>COUNTIFS(Findings!$B:$B,$A11,Findings!$J:$J,C$3)</f>
        <v/>
      </c>
      <c r="D11" s="23">
        <f>COUNTIFS(Findings!$B:$B,$A11,Findings!$J:$J,D$3)</f>
        <v/>
      </c>
      <c r="E11" s="23">
        <f>COUNTIFS(Findings!$B:$B,$A11,Findings!$J:$J,E$3)</f>
        <v/>
      </c>
      <c r="F11" s="23">
        <f>SUM(B11:E11)</f>
        <v/>
      </c>
      <c r="G11" s="23">
        <f>COUNTIFS(Findings!$B:$B,$A11,Findings!$K:$K,"None — fixable now")</f>
        <v/>
      </c>
      <c r="H11" s="23">
        <f>COUNTIFS(Findings!$B:$B,$A11,Findings!$M:$M,"Open")</f>
        <v/>
      </c>
    </row>
    <row r="12" ht="15" customHeight="1" s="17">
      <c r="A12" s="22" t="inlineStr">
        <is>
          <t>Profile</t>
        </is>
      </c>
      <c r="B12" s="23">
        <f>COUNTIFS(Findings!$B:$B,$A12,Findings!$J:$J,B$3)</f>
        <v/>
      </c>
      <c r="C12" s="23">
        <f>COUNTIFS(Findings!$B:$B,$A12,Findings!$J:$J,C$3)</f>
        <v/>
      </c>
      <c r="D12" s="23">
        <f>COUNTIFS(Findings!$B:$B,$A12,Findings!$J:$J,D$3)</f>
        <v/>
      </c>
      <c r="E12" s="23">
        <f>COUNTIFS(Findings!$B:$B,$A12,Findings!$J:$J,E$3)</f>
        <v/>
      </c>
      <c r="F12" s="23">
        <f>SUM(B12:E12)</f>
        <v/>
      </c>
      <c r="G12" s="23">
        <f>COUNTIFS(Findings!$B:$B,$A12,Findings!$K:$K,"None — fixable now")</f>
        <v/>
      </c>
      <c r="H12" s="23">
        <f>COUNTIFS(Findings!$B:$B,$A12,Findings!$M:$M,"Open")</f>
        <v/>
      </c>
    </row>
    <row r="13" ht="15" customHeight="1" s="17">
      <c r="A13" s="22" t="inlineStr">
        <is>
          <t>Total</t>
        </is>
      </c>
      <c r="B13" s="22">
        <f>SUM(B4:B12)</f>
        <v/>
      </c>
      <c r="C13" s="22">
        <f>SUM(C4:C12)</f>
        <v/>
      </c>
      <c r="D13" s="22">
        <f>SUM(D4:D12)</f>
        <v/>
      </c>
      <c r="E13" s="22">
        <f>SUM(E4:E12)</f>
        <v/>
      </c>
      <c r="F13" s="22">
        <f>SUM(F4:F12)</f>
        <v/>
      </c>
      <c r="G13" s="22">
        <f>SUM(G4:G12)</f>
        <v/>
      </c>
      <c r="H13" s="22">
        <f>SUM(H4:H12)</f>
        <v/>
      </c>
    </row>
    <row r="14" ht="15" customHeight="1" s="17">
      <c r="A14" s="24" t="n"/>
    </row>
    <row r="15" ht="15" customHeight="1" s="17">
      <c r="A15" s="24" t="inlineStr">
        <is>
          <t>Counts are of findings (rows), not of occurrences. Summary updates as Status changes on the Findings sheet. Fixable now counts findings whose Dependency is "None — fixable now"; questions closed in review carry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6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71484375" defaultRowHeight="15" zeroHeight="0" outlineLevelRow="0"/>
  <cols>
    <col width="7" customWidth="1" style="16" min="1" max="1"/>
    <col width="16" customWidth="1" style="16" min="2" max="2"/>
    <col width="18" customWidth="1" style="16" min="3" max="3"/>
    <col width="70" customWidth="1" style="16" min="4" max="4"/>
    <col width="30" customWidth="1" style="16" min="5" max="5"/>
    <col width="14" customWidth="1" style="16" min="6" max="6"/>
    <col width="48" customWidth="1" style="16" min="7" max="7"/>
    <col width="55" customWidth="1" style="16" min="8" max="8"/>
    <col width="60" customWidth="1" style="16" min="9" max="9"/>
    <col width="17" customWidth="1" style="16" min="10" max="10"/>
    <col width="24" customWidth="1" style="16" min="11" max="11"/>
    <col width="14" customWidth="1" style="16" min="12" max="12"/>
    <col width="13" customWidth="1" style="16" min="13" max="13"/>
    <col width="40" customWidth="1" style="16" min="14" max="14"/>
  </cols>
  <sheetData>
    <row r="1" ht="15" customHeight="1" s="17">
      <c r="A1" s="21" t="inlineStr">
        <is>
          <t>ID</t>
        </is>
      </c>
      <c r="B1" s="21" t="inlineStr">
        <is>
          <t>Area</t>
        </is>
      </c>
      <c r="C1" s="21" t="inlineStr">
        <is>
          <t>Rule(s)</t>
        </is>
      </c>
      <c r="D1" s="21" t="inlineStr">
        <is>
          <t>Rule text (from the profile)</t>
        </is>
      </c>
      <c r="E1" s="21" t="inlineStr">
        <is>
          <t>Element / location</t>
        </is>
      </c>
      <c r="F1" s="21" t="inlineStr">
        <is>
          <t>Occurrences</t>
        </is>
      </c>
      <c r="G1" s="21" t="inlineStr">
        <is>
          <t>Found</t>
        </is>
      </c>
      <c r="H1" s="21" t="inlineStr">
        <is>
          <t>Required</t>
        </is>
      </c>
      <c r="I1" s="21" t="inlineStr">
        <is>
          <t>Fix</t>
        </is>
      </c>
      <c r="J1" s="21" t="inlineStr">
        <is>
          <t>Type</t>
        </is>
      </c>
      <c r="K1" s="21" t="inlineStr">
        <is>
          <t>Dependency</t>
        </is>
      </c>
      <c r="L1" s="21" t="inlineStr">
        <is>
          <t>Owner</t>
        </is>
      </c>
      <c r="M1" s="21" t="inlineStr">
        <is>
          <t>Status</t>
        </is>
      </c>
      <c r="N1" s="21" t="inlineStr">
        <is>
          <t>Response</t>
        </is>
      </c>
    </row>
    <row r="2" ht="89.25" customHeight="1" s="17">
      <c r="A2" s="25" t="inlineStr">
        <is>
          <t>F001</t>
        </is>
      </c>
      <c r="B2" s="25" t="inlineStr">
        <is>
          <t>Root</t>
        </is>
      </c>
      <c r="C2" s="25" t="inlineStr">
        <is>
          <t>DPM13</t>
        </is>
      </c>
      <c r="D2" s="25" t="inlineStr">
        <is>
          <t>DPM13 Encoding [MUST, —]
metadata/preservation/{JOB_ID}_premis.xml
Encoded in UTF-8 [RFC3629] without a byte-order mark, opening with the XML declaration &lt;?xml version="1.0" encoding="UTF-8"?&gt;; text in Unicode Normalization Form C [UAX15]; LF line endings. Values copied from other sources (DOL file names in originalName, values taken from DOME) are normalised to NFC when written.</t>
        </is>
      </c>
      <c r="E2" s="25" t="inlineStr">
        <is>
          <t>XML declaration</t>
        </is>
      </c>
      <c r="F2" s="25" t="inlineStr">
        <is>
          <t>1</t>
        </is>
      </c>
      <c r="G2" s="25" t="inlineStr">
        <is>
          <t>&lt;?xml version='1.0' encoding='utf-8'?&gt; (single quotes, lowercase encoding). CRLF line endings on all 410 lines, as committed (the file's SHA-512 0563f1ff… matches the v1 state of the OCFL inventory). No byte-order mark; text is NFC.</t>
        </is>
      </c>
      <c r="H2" s="25" t="inlineStr">
        <is>
          <t>Exactly &lt;?xml version="1.0" encoding="UTF-8"?&gt;; UTF-8 without BOM, NFC, LF line endings.</t>
        </is>
      </c>
      <c r="I2" s="25" t="inlineStr">
        <is>
          <t>Write the declaration line exactly as &lt;?xml version="1.0" encoding="UTF-8"?&gt;. The PoC output matches Python's xml.etree.ElementTree, which writes single quotes and the encoding as given; write this line explicitly, then serialise the root without a declaration. Save as UTF-8 without BOM, LF line endings, text values NFC-normalised. Open the output file with newline="\n" (Python on Windows writes CRLF in text mode otherwise).</t>
        </is>
      </c>
      <c r="J2" s="25" t="inlineStr">
        <is>
          <t>Non-conformance</t>
        </is>
      </c>
      <c r="K2" s="25" t="inlineStr">
        <is>
          <t>None — fixable now</t>
        </is>
      </c>
      <c r="L2" s="26" t="inlineStr">
        <is>
          <t>EG / implementation</t>
        </is>
      </c>
      <c r="M2" s="26" t="inlineStr">
        <is>
          <t>In progress</t>
        </is>
      </c>
      <c r="N2" s="26" t="inlineStr">
        <is>
          <t>2026-10-15 implementation response: Exact UTF-8 declaration, no BOM, NFC text and LF are written by profile_workflow.serialize.</t>
        </is>
      </c>
    </row>
    <row r="3" ht="102" customHeight="1" s="17">
      <c r="A3" s="25" t="inlineStr">
        <is>
          <t>F002</t>
        </is>
      </c>
      <c r="B3" s="25" t="inlineStr">
        <is>
          <t>Root</t>
        </is>
      </c>
      <c r="C3" s="25" t="inlineStr">
        <is>
          <t>DPM16</t>
        </is>
      </c>
      <c r="D3" s="25" t="inlineStr">
        <is>
          <t>DPM16 PREMIS namespace [MUST, 1..1]
premis/@xmlns
Declared as the default namespace, set to http://www.loc.gov/premis/v3; PREMIS elements are written without a prefix, and xsi:type values are given unprefixed (file, representation, intellectualEntity), resolving to the PREMIS types through the default namespace.
Example: &lt;premis xmlns="http://www.loc.gov/premis/v3" …&gt;; then &lt;object xsi:type="file"&gt;</t>
        </is>
      </c>
      <c r="E3" s="25" t="inlineStr">
        <is>
          <t>All elements; object/@xsi:type</t>
        </is>
      </c>
      <c r="F3" s="25" t="inlineStr">
        <is>
          <t>All elements</t>
        </is>
      </c>
      <c r="G3" s="25" t="inlineStr">
        <is>
          <t>premis: prefix on every element; xsi:type values prefixed (premis:file, premis:representation).</t>
        </is>
      </c>
      <c r="H3" s="25" t="inlineStr">
        <is>
          <t>PREMIS 3 namespace declared as default; elements unprefixed; xsi:type values unprefixed (file, representation, intellectualEntity).</t>
        </is>
      </c>
      <c r="I3" s="25" t="inlineStr">
        <is>
          <t>Declare PREMIS as the default namespace on the root: &lt;premis xmlns="http://www.loc.gov/premis/v3" …&gt;. Write elements without prefix and xsi:type="file", "representation", "intellectualEntity". With ElementTree: ET.register_namespace("", "http://www.loc.gov/premis/v3") before serialising.</t>
        </is>
      </c>
      <c r="J3" s="25" t="inlineStr">
        <is>
          <t>Non-conformance</t>
        </is>
      </c>
      <c r="K3" s="25" t="inlineStr">
        <is>
          <t>None — fixable now</t>
        </is>
      </c>
      <c r="L3" s="26" t="inlineStr">
        <is>
          <t>EG / implementation</t>
        </is>
      </c>
      <c r="M3" s="26" t="inlineStr">
        <is>
          <t>In progress</t>
        </is>
      </c>
      <c r="N3" s="26" t="inlineStr">
        <is>
          <t>2026-10-15 implementation response: Default PREMIS 3 namespace and unprefixed xsi:type values; official XSD validation.</t>
        </is>
      </c>
    </row>
    <row r="4" ht="267.75" customHeight="1" s="17">
      <c r="A4" s="25" t="inlineStr">
        <is>
          <t>F003</t>
        </is>
      </c>
      <c r="B4" s="25" t="inlineStr">
        <is>
          <t>Root</t>
        </is>
      </c>
      <c r="C4" s="25" t="inlineStr">
        <is>
          <t>DPM18, DPM19</t>
        </is>
      </c>
      <c r="D4" s="25" t="inlineStr">
        <is>
          <t>DPM18 Schema location [MUST, 1..1]
premis/@xsi:schemaLocation
Set to http://www.loc.gov/premis/v3 ../../schemas/premis.xsd: the package-local copy, by its path relative to metadata/preservation/.
Example: xsi:schemaLocation="http://www.loc.gov/premis/v3 ../../schemas/premis.xsd"
DPM19 Local schema copy [MUST, 1..1 per package]
schemas/premis.xsd
A copy of the PREMIS 3.0 schema is held in the package schemas/ folder, so the PREMIS file can be validated wherever the package is, without network access, in restricted environments, and after the schema's published location has changed or disappeared (cf. [DILCIS-CSIP]). The 3.0 schema is self-contained: it imports no other schema (3.0 removed the XLink reference). Although a SIP otherwise carries only new and changed files, every SIP carries the schemas/ folder, so that the premis.xml and METS.xml it carries resolve their schemas within the bag; OCFL stores identical bytes once. The copy is the Library of Congress file https://www.loc.gov/standards/premis/v3/premis.xsd, byte-identical in every package; its SHA-512 is fixed when the pipeline is configured ([PREMIS-XSD-SHA512]; see *Open items*), and a package whose schemas/premis.xsd differs is held.</t>
        </is>
      </c>
      <c r="E4" s="25" t="inlineStr">
        <is>
          <t>premis/@xsi:schemaLocation</t>
        </is>
      </c>
      <c r="F4" s="25" t="inlineStr">
        <is>
          <t>1</t>
        </is>
      </c>
      <c r="G4" s="25" t="inlineStr">
        <is>
          <t>Absent.</t>
        </is>
      </c>
      <c r="H4" s="25" t="inlineStr">
        <is>
          <t>http://www.loc.gov/premis/v3 ../../schemas/premis.xsd, with the package-local copy at schemas/premis.xsd.</t>
        </is>
      </c>
      <c r="I4" s="25" t="inlineStr">
        <is>
          <t>Add to the root: xsi:schemaLocation="http://www.loc.gov/premis/v3 ../../schemas/premis.xsd". Copy the LoC PREMIS 3.0 premis.xsd into every package at schemas/premis.xsd.</t>
        </is>
      </c>
      <c r="J4" s="25" t="inlineStr">
        <is>
          <t>Non-conformance</t>
        </is>
      </c>
      <c r="K4" s="25" t="inlineStr">
        <is>
          <t>None — fixable now</t>
        </is>
      </c>
      <c r="L4" s="26" t="inlineStr">
        <is>
          <t>EG / implementation</t>
        </is>
      </c>
      <c r="M4" s="26" t="inlineStr">
        <is>
          <t>In progress</t>
        </is>
      </c>
      <c r="N4" s="26" t="inlineStr">
        <is>
          <t>2026-10-15 implementation response: Package-local schemas/premis.xsd and relative schemaLocation; schema SHA-512 pins checked at ingest.</t>
        </is>
      </c>
    </row>
    <row r="5" ht="140.25" customHeight="1" s="17">
      <c r="A5" s="25" t="inlineStr">
        <is>
          <t>F004</t>
        </is>
      </c>
      <c r="B5" s="25" t="inlineStr">
        <is>
          <t>Root</t>
        </is>
      </c>
      <c r="C5" s="25" t="inlineStr">
        <is>
          <t>DPM10</t>
        </is>
      </c>
      <c r="D5" s="25" t="inlineStr">
        <is>
          <t>DPM10 Schema validity [MUST, —]
metadata/preservation/{JOB_ID}_premis.xml against schemas/premis.xsd
The preparation side validates premis.xml against the package-local PREMIS 3.0 schema before bagging; the ingest side validates it again after appending its events, before commit. Validation uses only the schemas in the package's schemas/ folder (DPM18, DPM19), and also checks that the file contains no semantic unit at level NOT USED (see *Conventions*). An invalid file halts the item on the preparation side; on the ingest side it commits nothing and holds the bag.
Example: a file object carrying storage is valid against the PREMIS 3.0 schema, but storage is NOT USED in this profile (DPM64), so the file fails this check.</t>
        </is>
      </c>
      <c r="E5" s="25" t="inlineStr">
        <is>
          <t>Whole file</t>
        </is>
      </c>
      <c r="F5" s="25" t="inlineStr">
        <is>
          <t>1</t>
        </is>
      </c>
      <c r="G5" s="25" t="inlineStr">
        <is>
          <t>Valid against the PREMIS 3.0 schema (premis-v3-0.xsd, LoC, 2016-01-18), checked with lxml on 2026-10-09. No NOT USED units present. Both halves of DPM10 pass for this file. METS and inventory agreement checked separately: F059.</t>
        </is>
      </c>
      <c r="H5" s="25" t="inlineStr">
        <is>
          <t>Validate against the package-local premis.xsd before bagging and again before commit; reject any NOT USED unit.</t>
        </is>
      </c>
      <c r="I5" s="25" t="inlineStr">
        <is>
          <t>None (closed).</t>
        </is>
      </c>
      <c r="J5" s="25" t="inlineStr">
        <is>
          <t>Question</t>
        </is>
      </c>
      <c r="K5" s="25" t="inlineStr">
        <is>
          <t>—</t>
        </is>
      </c>
      <c r="L5" s="26" t="n"/>
      <c r="M5" s="26" t="inlineStr">
        <is>
          <t>Closed</t>
        </is>
      </c>
      <c r="N5" s="26" t="inlineStr">
        <is>
          <t>Resolved in review: schema-valid, no NOT USED units. No action for the Python writer.
2026-10-15 implementation response: Original review closure/profile issue retained; no implementation closure asserted.</t>
        </is>
      </c>
    </row>
    <row r="6" ht="191.25" customHeight="1" s="17">
      <c r="A6" s="25" t="inlineStr">
        <is>
          <t>F005</t>
        </is>
      </c>
      <c r="B6" s="25" t="inlineStr">
        <is>
          <t>General</t>
        </is>
      </c>
      <c r="C6" s="25" t="inlineStr">
        <is>
          <t>Controlled vocabularies; DPM91</t>
        </is>
      </c>
      <c r="D6" s="25" t="inlineStr">
        <is>
          <t>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
Controlled vocabularies
This section lists the controlled vocabularies used in the package PREMIS file. Only the values this profile writes are listed; a value not listed is not written.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t>
        </is>
      </c>
      <c r="E6" s="25" t="inlineStr">
        <is>
          <t>All controlled values</t>
        </is>
      </c>
      <c r="F6" s="25" t="inlineStr">
        <is>
          <t>Throughout</t>
        </is>
      </c>
      <c r="G6" s="25" t="inlineStr">
        <is>
          <t>No @authority, @authorityURI or @valueURI on any controlled value (eventType, relationshipType/SubType, messageDigestAlgorithm, roles, agentType).</t>
        </is>
      </c>
      <c r="H6" s="25" t="inlineStr">
        <is>
          <t>LoC values carry @authority, @authorityURI and @valueURI; local values carry @authority="local".</t>
        </is>
      </c>
      <c r="I6" s="25" t="inlineStr">
        <is>
          <t>Keep a lookup table in the Python writer, value → @valueURI, and add the three attributes to every LoC controlled value, e.g. &lt;relationshipType authority="relationshipType" authorityURI="http://id.loc.gov/vocabulary/preservation/relationshipType" valueURI="http://id.loc.gov/vocabulary/preservation/relationshipType/str"&gt;structural&lt;/relationshipType&gt;. Local values: authority="local". The complete lookup is the Controlled values tab of this workbook. Never use the deprecated LoC scheme Linking Agent Role (Event) (…/linkingAgentRoleEvent); agent roles come from Event Related Agent Role (…/eventRelatedAgentRole).</t>
        </is>
      </c>
      <c r="J6" s="25" t="inlineStr">
        <is>
          <t>Non-conformance</t>
        </is>
      </c>
      <c r="K6" s="25" t="inlineStr">
        <is>
          <t>None — fixable now</t>
        </is>
      </c>
      <c r="L6" s="26" t="inlineStr">
        <is>
          <t>EG / implementation</t>
        </is>
      </c>
      <c r="M6" s="26" t="inlineStr">
        <is>
          <t>In progress</t>
        </is>
      </c>
      <c r="N6" s="26" t="inlineStr">
        <is>
          <t>2026-10-15 implementation response: Controlled-value lookup adds authority/authorityURI/valueURI; local terms use authority=local; identifier types stay plain.</t>
        </is>
      </c>
    </row>
    <row r="7" ht="395.25" customHeight="1" s="17">
      <c r="A7" s="25" t="inlineStr">
        <is>
          <t>F006</t>
        </is>
      </c>
      <c r="B7" s="25" t="inlineStr">
        <is>
          <t>Intellectual entity</t>
        </is>
      </c>
      <c r="C7" s="25" t="inlineStr">
        <is>
          <t>DPM20–DPM24</t>
        </is>
      </c>
      <c r="D7" s="25" t="inlineStr">
        <is>
          <t>DPM20 Object category [MUST, 1..1]
object[@xsi:type='intellectualEntity']
Exactly one per PREMIS file.
DPM21 Object identification [MUST, 2..2]
object/objectIdentifier
Two identifiers, in this order: the UUID (DPM22, DPM23), then the JOB_ID (DPM24).
DPM22 Type of identification [MUST, 1..1]
object/objectIdentifier/objectIdentifierType
Set to UUID in the first identifier.
DPM23 Identification value [MUST, 1..1]
object/objectIdentifier/objectIdentifierValue
The object's UUID: a UUID version 4 [UUID] in its standard lowercase form, without prefix. The same UUID identifies the AIP and its OCFL object: it is the root METS @OBJID and the OCFL inventory id, which carry it in urn:uuid: form. This is the one case where a UUID names more than one entity; it is allowed because the intellectual entity and its AIP correspond one-to-one for the life of the object. The object folder is named by the JOB_ID (DPM24), not by this UUID. Each SIP has its own UUID (DPM8), which the SIP's root METS carries as @OBJID until the ingest side replaces it with the object's UUID at the SIP→AIP transformation.
Example: 9cad434a-aedd-4955-bc53-1f1e3c1c882a
DPM24 JOB_ID identifier [MUST, 1..1]
object/objectIdentifier[objectIdentifierType='JOB_ID']
Second identifier: type JOB_ID, value the JOB_ID: the four-digit year, an underscore and a six-digit zero-padded number (YYYY_NNNNNN, e.g. 2026_012017).</t>
        </is>
      </c>
      <c r="E7" s="25" t="inlineStr">
        <is>
          <t>object[@xsi:type='intellectualEntity']</t>
        </is>
      </c>
      <c r="F7" s="25" t="inlineStr">
        <is>
          <t>1 (typed as representation; expected 1 intellectual entity)</t>
        </is>
      </c>
      <c r="G7" s="25" t="inlineStr">
        <is>
          <t>No object typed intellectualEntity. The object's UUID ec1921e0-76fd-4ab3-8b4a-0d1f105fc2ad (the root METS @OBJID and the OCFL inventory id) is written on an object typed representation, with the UUID as its only identifier. Same pattern as in 2026_009714.</t>
        </is>
      </c>
      <c r="H7" s="25" t="inlineStr">
        <is>
          <t>Exactly one, with two identifiers in order: UUID (a uuid4, the object UUID), then JOB_ID 2026_011922. Note: the same UUID also appears outside PREMIS, in urn:uuid: form, as the OCFL inventory id and the root METS @OBJID (DPM23); nothing further is written in PREMIS.</t>
        </is>
      </c>
      <c r="I7" s="25" t="inlineStr">
        <is>
          <t>Retype the existing object ec1921e0-76fd-4ab3-8b4a-0d1f105fc2ad: xsi:type="intellectualEntity". Keep its UUID (do not mint a new one: it is the object's UUID, DPM23). Add the second objectIdentifier JOB_ID 2026_011922. Pattern: Example 1 of the profile (intellectual entity block).</t>
        </is>
      </c>
      <c r="J7" s="25" t="inlineStr">
        <is>
          <t>Non-conformance</t>
        </is>
      </c>
      <c r="K7" s="25" t="inlineStr">
        <is>
          <t>None — fixable now</t>
        </is>
      </c>
      <c r="L7" s="26" t="inlineStr">
        <is>
          <t>EG / implementation</t>
        </is>
      </c>
      <c r="M7" s="26" t="inlineStr">
        <is>
          <t>In progress</t>
        </is>
      </c>
      <c r="N7" s="26" t="inlineStr">
        <is>
          <t>2026-10-15 implementation response: One intellectualEntity retains the existing object UUID and carries UUID then JOB_ID identifiers.</t>
        </is>
      </c>
    </row>
    <row r="8" ht="102" customHeight="1" s="17">
      <c r="A8" s="25" t="inlineStr">
        <is>
          <t>F007</t>
        </is>
      </c>
      <c r="B8" s="25" t="inlineStr">
        <is>
          <t>Intellectual entity</t>
        </is>
      </c>
      <c r="C8" s="25" t="inlineStr">
        <is>
          <t>DPM25, DPM71</t>
        </is>
      </c>
      <c r="D8" s="25" t="inlineStr">
        <is>
          <t>DPM25 Relationships [MUST, 2..2]
object/relationship
Representation membership, as set out in the *Relationship catalogue* (DPM71).
DPM71 Representation membership [MUST, 2..2 per intellectual entity]
object[@xsi:type='intellectualEntity']/relationship
structural / includes, related object each representation.
Example: 864aaa6f-ea0f-40d4-a83d-4be03b108e55 (rep_2)</t>
        </is>
      </c>
      <c r="E8" s="25" t="inlineStr">
        <is>
          <t>intellectualEntity/relationship</t>
        </is>
      </c>
      <c r="F8" s="25" t="inlineStr">
        <is>
          <t>0 (expected 2)</t>
        </is>
      </c>
      <c r="G8" s="25" t="inlineStr">
        <is>
          <t>Absent (the intellectual entity is mistyped, F006).</t>
        </is>
      </c>
      <c r="H8" s="25" t="inlineStr">
        <is>
          <t>structural / includes → rep_1 and → rep_2.</t>
        </is>
      </c>
      <c r="I8" s="25" t="inlineStr">
        <is>
          <t>In the same block, after the identifiers: two relationship elements, structural / includes → [REP_1-UUID] and structural / includes → [REP_2-UUID].</t>
        </is>
      </c>
      <c r="J8" s="25" t="inlineStr">
        <is>
          <t>Non-conformance</t>
        </is>
      </c>
      <c r="K8" s="25" t="inlineStr">
        <is>
          <t>None — fixable now</t>
        </is>
      </c>
      <c r="L8" s="26" t="inlineStr">
        <is>
          <t>EG / implementation</t>
        </is>
      </c>
      <c r="M8" s="26" t="inlineStr">
        <is>
          <t>In progress</t>
        </is>
      </c>
      <c r="N8" s="26" t="inlineStr">
        <is>
          <t>2026-10-15 implementation response: IE includes relationships to two stable representation UUIDs.</t>
        </is>
      </c>
    </row>
    <row r="9" ht="38.25" customHeight="1" s="17">
      <c r="A9" s="25" t="inlineStr">
        <is>
          <t>F008</t>
        </is>
      </c>
      <c r="B9" s="25" t="inlineStr">
        <is>
          <t>Representation</t>
        </is>
      </c>
      <c r="C9" s="25" t="inlineStr">
        <is>
          <t>DPM27</t>
        </is>
      </c>
      <c r="D9" s="25" t="inlineStr">
        <is>
          <t>DPM27 Object category [MUST, 2..2]
object[@xsi:type='representation']
Exactly two per PREMIS file.</t>
        </is>
      </c>
      <c r="E9" s="25" t="inlineStr">
        <is>
          <t>object[@xsi:type='representation']</t>
        </is>
      </c>
      <c r="F9" s="25" t="inlineStr">
        <is>
          <t>0 (expected 2)</t>
        </is>
      </c>
      <c r="G9" s="25" t="inlineStr">
        <is>
          <t>No representations. The only object typed representation (ec1921e0-…) is the intellectual entity (F006); both the rep_1 DOCX and the rep_2 master point to it.</t>
        </is>
      </c>
      <c r="H9" s="25" t="inlineStr">
        <is>
          <t>Two representations, rep_1 (authoring sources) and rep_2 (PDF/A masters and attachments), each with its own uuid4.</t>
        </is>
      </c>
      <c r="I9" s="25" t="inlineStr">
        <is>
          <t>Write two representation objects, rep_1 and rep_2, each with a new uuid4 entered in the UUID registry. Do not reuse ec1921e0-…: it is the object's UUID (F006). The DOCX belongs to rep_1, the master to rep_2.</t>
        </is>
      </c>
      <c r="J9" s="25" t="inlineStr">
        <is>
          <t>Non-conformance</t>
        </is>
      </c>
      <c r="K9" s="25" t="inlineStr">
        <is>
          <t>None — fixable now</t>
        </is>
      </c>
      <c r="L9" s="26" t="inlineStr">
        <is>
          <t>EG / implementation</t>
        </is>
      </c>
      <c r="M9" s="26" t="inlineStr">
        <is>
          <t>In progress</t>
        </is>
      </c>
      <c r="N9" s="26" t="inlineStr">
        <is>
          <t>2026-10-15 implementation response: Independent registered UUID4s for rep_1 and rep_2. Attachment-only jobs retain an empty rep_1: draft adaptation requiring review.</t>
        </is>
      </c>
    </row>
    <row r="10" ht="153" customHeight="1" s="17">
      <c r="A10" s="25" t="inlineStr">
        <is>
          <t>F009</t>
        </is>
      </c>
      <c r="B10" s="25" t="inlineStr">
        <is>
          <t>Representation</t>
        </is>
      </c>
      <c r="C10" s="25" t="inlineStr">
        <is>
          <t>DPM28, DPM41</t>
        </is>
      </c>
      <c r="D10" s="25" t="inlineStr">
        <is>
          <t>DPM28 Object identification [MUST, 2..2]
object/objectIdentifier
Two identifiers, in this order: the UUID (DPM29, DPM30), then the filepath (DPM41).
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is>
      </c>
      <c r="E10" s="25" t="inlineStr">
        <is>
          <t>representation/objectIdentifier</t>
        </is>
      </c>
      <c r="F10" s="25" t="inlineStr">
        <is>
          <t>0 (no representations)</t>
        </is>
      </c>
      <c r="G10" s="25" t="inlineStr">
        <is>
          <t>No representations (F008).</t>
        </is>
      </c>
      <c r="H10" s="25" t="inlineStr">
        <is>
          <t>UUID, then filepath identifier: representations/rep_1 or representations/rep_2.</t>
        </is>
      </c>
      <c r="I10" s="25" t="inlineStr">
        <is>
          <t>On each new representation, after the UUID: &lt;objectIdentifier&gt;&lt;objectIdentifierType&gt;filepath&lt;/objectIdentifierType&gt;&lt;objectIdentifierValue&gt;representations/rep_1&lt;/objectIdentifierValue&gt;&lt;/objectIdentifier&gt; (rep_2 likewise). Write identifier types as plain values, without @authority (vocPREMISIdentifierTypes; F057).</t>
        </is>
      </c>
      <c r="J10" s="25" t="inlineStr">
        <is>
          <t>Non-conformance</t>
        </is>
      </c>
      <c r="K10" s="25" t="inlineStr">
        <is>
          <t>None — fixable now</t>
        </is>
      </c>
      <c r="L10" s="26" t="inlineStr">
        <is>
          <t>EG / implementation</t>
        </is>
      </c>
      <c r="M10" s="26" t="inlineStr">
        <is>
          <t>In progress</t>
        </is>
      </c>
      <c r="N10" s="26" t="inlineStr">
        <is>
          <t>2026-10-15 implementation response: Representation identifiers are UUID then filepath.</t>
        </is>
      </c>
    </row>
    <row r="11" ht="204" customHeight="1" s="17">
      <c r="A11" s="25" t="inlineStr">
        <is>
          <t>F010</t>
        </is>
      </c>
      <c r="B11" s="25" t="inlineStr">
        <is>
          <t>Representation</t>
        </is>
      </c>
      <c r="C11" s="25" t="inlineStr">
        <is>
          <t>DPM35, DPM72, DPM73</t>
        </is>
      </c>
      <c r="D11" s="25" t="inlineStr">
        <is>
          <t>DPM35 Relationships [MUST, 2..n]
object/relationship
Membership in the intellectual entity and of its files, as set out in the *Relationship catalogue* (DPM72, DPM73).
DPM72 Inclusion in the intellectual entity [MUST, 1..1 per representation]
object[@xsi:type='representation']/relationship
structural / is Included In, related object the intellectual entity.
Example: 9cad434a-aedd-4955-bc53-1f1e3c1c882a
DPM73 File membership [MUST, 1..n per representation]
object[@xsi:type='representation']/relationship
structural / includes, related object each held file of the representation. Appended to the representation as files are added (DPM4); an includes to a file later superseded at its path is kept (see *Superseded files*).
Example: 3aaa37c1-1f81-48f5-8144-cd222bfa84c7 (the English master)</t>
        </is>
      </c>
      <c r="E11" s="25" t="inlineStr">
        <is>
          <t>representation/relationship</t>
        </is>
      </c>
      <c r="F11" s="25" t="inlineStr">
        <is>
          <t>0</t>
        </is>
      </c>
      <c r="G11" s="25" t="inlineStr">
        <is>
          <t>No representations (F008).</t>
        </is>
      </c>
      <c r="H11" s="25" t="inlineStr">
        <is>
          <t>structural / is Included In → IE; structural / includes → each held file of that representation.</t>
        </is>
      </c>
      <c r="I11" s="25" t="inlineStr">
        <is>
          <t>On each representation: relationship structural / is Included In → [OBJECT-UUID]; then structural / includes → each held file of that representation (rep_1 → the DOCX UUID; rep_2 → the master UUID).</t>
        </is>
      </c>
      <c r="J11" s="25" t="inlineStr">
        <is>
          <t>Non-conformance</t>
        </is>
      </c>
      <c r="K11" s="25" t="inlineStr">
        <is>
          <t>None — fixable now</t>
        </is>
      </c>
      <c r="L11" s="26" t="inlineStr">
        <is>
          <t>EG / implementation</t>
        </is>
      </c>
      <c r="M11" s="26" t="inlineStr">
        <is>
          <t>In progress</t>
        </is>
      </c>
      <c r="N11" s="26" t="inlineStr">
        <is>
          <t>2026-10-15 implementation response: Bidirectional structural includes/is Included In links; prior includes retained.</t>
        </is>
      </c>
    </row>
    <row r="12" ht="216.75" customHeight="1" s="17">
      <c r="A12" s="25" t="inlineStr">
        <is>
          <t>F011</t>
        </is>
      </c>
      <c r="B12" s="25" t="inlineStr">
        <is>
          <t>File</t>
        </is>
      </c>
      <c r="C12" s="25" t="inlineStr">
        <is>
          <t>DPM37–DPM39</t>
        </is>
      </c>
      <c r="D12" s="25" t="inlineStr">
        <is>
          <t>DPM37 Object identification [MUST, 1..2]
object/objectIdentifier
For every file object the UUID (DPM38, DPM39); for every held file, then the filepath (DPM41), in that order.
DPM38 Type of identification [MUST, 1..1]
object/objectIdentifier/objectIdentifierType
Set to UUID in the first identifier.
DPM39 Identification value [MUST, 1..1]
object/objectIdentifier/objectIdentifierValue
The file's UUID (file_id in the workflow): a UUID version 4, without prefix, minted when the file first exists in the pipeline: at step 1 for files acquired from DOL (authoring sources and published PDFs), at step 3 for masters, and when produced for reports, logs and DOME. New bytes at an existing path are a new file with a new UUID (DPM8).
Example: 3aaa37c1-1f81-48f5-8144-cd222bfa84c7 (the English master)</t>
        </is>
      </c>
      <c r="E12" s="25" t="inlineStr">
        <is>
          <t>file/objectIdentifier</t>
        </is>
      </c>
      <c r="F12" s="25" t="inlineStr">
        <is>
          <t>8 file objects</t>
        </is>
      </c>
      <c r="G12" s="25" t="inlineStr">
        <is>
          <t>Only identifier is type local-path; no UUID on any file.</t>
        </is>
      </c>
      <c r="H12" s="25" t="inlineStr">
        <is>
          <t>First identifier type UUID (uuid4 minted when the file first exists in the pipeline), then the filepath identifier.</t>
        </is>
      </c>
      <c r="I12" s="25" t="inlineStr">
        <is>
          <t>Mint a uuid4 for each file when it first exists in the pipeline (step 1 for files from DOL, step 2 for the master, when produced for reports and DOME), enter it in the UUID registry, and write it as the first objectIdentifier (type UUID). The path becomes the second identifier (F012). The pipeline already assigns these: the QA report carries file_id for the master (ef1fe473-06b0-496a-9fd7-090d6388b748 in v1) and the published PDF (585992a9-deba-427d-9360-fce164e33a16). Write those, not new values.</t>
        </is>
      </c>
      <c r="J12" s="25" t="inlineStr">
        <is>
          <t>Non-conformance</t>
        </is>
      </c>
      <c r="K12" s="25" t="inlineStr">
        <is>
          <t>None — fixable now</t>
        </is>
      </c>
      <c r="L12" s="26" t="inlineStr">
        <is>
          <t>EG / implementation</t>
        </is>
      </c>
      <c r="M12" s="26" t="inlineStr">
        <is>
          <t>In progress</t>
        </is>
      </c>
      <c r="N12" s="26" t="inlineStr">
        <is>
          <t>2026-10-15 implementation response: Existing stage file IDs are reused; new stage UUIDs enter the local registry before return. Evidence/content IDs are registered once.</t>
        </is>
      </c>
    </row>
    <row r="13" ht="89.25" customHeight="1" s="17">
      <c r="A13" s="25" t="inlineStr">
        <is>
          <t>F012</t>
        </is>
      </c>
      <c r="B13" s="25" t="inlineStr">
        <is>
          <t>File</t>
        </is>
      </c>
      <c r="C13" s="25" t="inlineStr">
        <is>
          <t>DPM41</t>
        </is>
      </c>
      <c r="D13" s="25" t="inlineStr">
        <is>
          <t>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is>
      </c>
      <c r="E13" s="25" t="inlineStr">
        <is>
          <t>file/objectIdentifier/objectIdentifierType</t>
        </is>
      </c>
      <c r="F13" s="25" t="inlineStr">
        <is>
          <t>8 file objects</t>
        </is>
      </c>
      <c r="G13" s="25" t="inlineStr">
        <is>
          <t>Identifier type local-path.</t>
        </is>
      </c>
      <c r="H13" s="25" t="inlineStr">
        <is>
          <t>Identifier type filepath; value the OCFL logical path.</t>
        </is>
      </c>
      <c r="I13" s="25" t="inlineStr">
        <is>
          <t>Change objectIdentifierType from local-path to filepath on all 8 file objects. The value is already the logical path relative to content/; it changes only where the path itself changes (DOME, F024; canonical names, F025). It follows the UUID identifier.</t>
        </is>
      </c>
      <c r="J13" s="25" t="inlineStr">
        <is>
          <t>Non-conformance</t>
        </is>
      </c>
      <c r="K13" s="25" t="inlineStr">
        <is>
          <t>None — fixable now</t>
        </is>
      </c>
      <c r="L13" s="26" t="inlineStr">
        <is>
          <t>EG / implementation</t>
        </is>
      </c>
      <c r="M13" s="26" t="inlineStr">
        <is>
          <t>In progress</t>
        </is>
      </c>
      <c r="N13" s="26" t="inlineStr">
        <is>
          <t>2026-10-15 implementation response: Held files carry UUID then filepath identifiers; local-path removed in profile mode.</t>
        </is>
      </c>
    </row>
    <row r="14" ht="114.75" customHeight="1" s="17">
      <c r="A14" s="25" t="inlineStr">
        <is>
          <t>F013</t>
        </is>
      </c>
      <c r="B14" s="25" t="inlineStr">
        <is>
          <t>File</t>
        </is>
      </c>
      <c r="C14" s="25" t="inlineStr">
        <is>
          <t>DPM40</t>
        </is>
      </c>
      <c r="D14" s="25" t="inlineStr">
        <is>
          <t>DPM40 Published PDF, described not held [MUST, 0..n]
object[@xsi:type='file']
The published PDF from which a master is derived is described as a file object without a filepath identifier. Its UUID is the one minted for it at step 1; its fixity is the digest struck at extraction; its originalName is the DOL file name. A published PDF is described once: where a later version acquires a published PDF whose SHA-512 equals that of one already described, no new object is written, and no master is derived from it again except in a master_reconversion version (DPM106); a published PDF whose digest differs is a new object with a new UUID (DPM8). None is written where no master is derived from a published PDF (see *Open items*, conversion skipped).
Example: 66a05ffa-9f3c-4f65-a8ed-0eb84c4e31b2, originalName WTGCWT849.pdf</t>
        </is>
      </c>
      <c r="E14" s="25" t="inlineStr">
        <is>
          <t>Published PDF file object</t>
        </is>
      </c>
      <c r="F14" s="25" t="inlineStr">
        <is>
          <t>0 (expected 1)</t>
        </is>
      </c>
      <c r="G14" s="25" t="inlineStr">
        <is>
          <t>No object for the published Spanish PDF from which the master was derived.</t>
        </is>
      </c>
      <c r="H14" s="25" t="inlineStr">
        <is>
          <t>File object without filepath: UUID minted at step 1, SHA-512 and size as extracted, format (PRONOM fmt/276, version 1.7), originalName = DOL file name.</t>
        </is>
      </c>
      <c r="I14" s="25" t="inlineStr">
        <is>
          <t>Add a file object for the published Spanish PDF, placed immediately before the master: UUID minted at step 1; no filepath identifier; compositionLevel 0; SHA-512 and size of the PDF as extracted from DOL; format as DROID reports it (expected Acrobat PDF 1.7 - Portable Document Format, 1.7, fmt/276); originalName = its DOL file name. Its UUID and digest already exist in the QA report source block: file_id 585992a9-deba-427d-9360-fce164e33a16, SHA-512 9986bff4d613… (the _src.pdf working copy, a byte copy of the published PDF).</t>
        </is>
      </c>
      <c r="J14" s="25" t="inlineStr">
        <is>
          <t>Non-conformance</t>
        </is>
      </c>
      <c r="K14" s="25" t="inlineStr">
        <is>
          <t>None — fixable now</t>
        </is>
      </c>
      <c r="L14" s="26" t="inlineStr">
        <is>
          <t>EG / implementation</t>
        </is>
      </c>
      <c r="M14" s="26" t="inlineStr">
        <is>
          <t>In progress</t>
        </is>
      </c>
      <c r="N14" s="26" t="inlineStr">
        <is>
          <t>2026-10-15 implementation response: Published DOL PDFs remain described by UUID/fixity/size/format/originalName without filepath, before derivation links to masters.</t>
        </is>
      </c>
    </row>
    <row r="15" ht="38.25" customHeight="1" s="17">
      <c r="A15" s="25" t="inlineStr">
        <is>
          <t>F014</t>
        </is>
      </c>
      <c r="B15" s="25" t="inlineStr">
        <is>
          <t>File</t>
        </is>
      </c>
      <c r="C15" s="25" t="inlineStr">
        <is>
          <t>DPM43</t>
        </is>
      </c>
      <c r="D15" s="25" t="inlineStr">
        <is>
          <t>DPM43 Composition level [MUST, 1..1]
object/objectCharacteristics/compositionLevel
Set to 0.</t>
        </is>
      </c>
      <c r="E15" s="25" t="inlineStr">
        <is>
          <t>objectCharacteristics/compositionLevel</t>
        </is>
      </c>
      <c r="F15" s="25" t="inlineStr">
        <is>
          <t>8 file objects</t>
        </is>
      </c>
      <c r="G15" s="25" t="inlineStr">
        <is>
          <t>Absent.</t>
        </is>
      </c>
      <c r="H15" s="25" t="inlineStr">
        <is>
          <t>0.</t>
        </is>
      </c>
      <c r="I15" s="25" t="inlineStr">
        <is>
          <t>Add &lt;compositionLevel&gt;0&lt;/compositionLevel&gt; as the first child of objectCharacteristics on every file object.</t>
        </is>
      </c>
      <c r="J15" s="25" t="inlineStr">
        <is>
          <t>Non-conformance</t>
        </is>
      </c>
      <c r="K15" s="25" t="inlineStr">
        <is>
          <t>None — fixable now</t>
        </is>
      </c>
      <c r="L15" s="26" t="inlineStr">
        <is>
          <t>EG / implementation</t>
        </is>
      </c>
      <c r="M15" s="26" t="inlineStr">
        <is>
          <t>In progress</t>
        </is>
      </c>
      <c r="N15" s="26" t="inlineStr">
        <is>
          <t>2026-10-15 implementation response: compositionLevel=0 on every file object.</t>
        </is>
      </c>
    </row>
    <row r="16" ht="76.5" customHeight="1" s="17">
      <c r="A16" s="25" t="inlineStr">
        <is>
          <t>F015</t>
        </is>
      </c>
      <c r="B16" s="25" t="inlineStr">
        <is>
          <t>File</t>
        </is>
      </c>
      <c r="C16" s="25" t="inlineStr">
        <is>
          <t>DPM47</t>
        </is>
      </c>
      <c r="D16" s="25" t="inlineStr">
        <is>
          <t>DPM47 Fixity originator [MUST, 1..1]
object/objectCharacteristics/fixity/messageDigestOriginator
The agent-registry UUID of the agent that calculated the digest: where the file has a digest calculation event (DPM103), that event's executing program; otherwise the stage script that wrote the file and computed its digest before bagging. The agent is described in the PREMIS file (DPM78).
Example: the UUID of [SCRIPT-STEP-1] for a file extracted from DOL; of [SCRIPT-STEP-4] for a veraPDF report it wrote</t>
        </is>
      </c>
      <c r="E16" s="25" t="inlineStr">
        <is>
          <t>fixity/messageDigestOriginator</t>
        </is>
      </c>
      <c r="F16" s="25" t="inlineStr">
        <is>
          <t>8 file objects</t>
        </is>
      </c>
      <c r="G16" s="25" t="inlineStr">
        <is>
          <t>Absent.</t>
        </is>
      </c>
      <c r="H16" s="25" t="inlineStr">
        <is>
          <t>Agent-registry UUID of the agent that calculated the digest (the executing program of DPM103 where there is one); agent described in the file.</t>
        </is>
      </c>
      <c r="I16" s="25" t="inlineStr">
        <is>
          <t>Add &lt;messageDigestOriginator&gt;[AGENT-UUID]&lt;/messageDigestOriginator&gt; after messageDigest in each fixity: the agent-registry UUID of the executing program of the file's digest calculation event (DPM103) where it has one (DOCX, published PDF, master); otherwise the stage script that wrote the file and computed its digest (reports, conversion log, DROID report, DOME, dome_sql_extraction.json). Needs the agent registry.</t>
        </is>
      </c>
      <c r="J16" s="25" t="inlineStr">
        <is>
          <t>Non-conformance</t>
        </is>
      </c>
      <c r="K16" s="25" t="inlineStr">
        <is>
          <t>Agent registry</t>
        </is>
      </c>
      <c r="L16" s="26" t="inlineStr">
        <is>
          <t>EG / implementation</t>
        </is>
      </c>
      <c r="M16" s="26" t="inlineStr">
        <is>
          <t>In progress</t>
        </is>
      </c>
      <c r="N16" s="26" t="inlineStr">
        <is>
          <t>2026-10-15 implementation response: Digest originators reference configured software-agent UUIDs. Provisional agent registry supplied; production registry pending.</t>
        </is>
      </c>
    </row>
    <row r="17" ht="409.5" customHeight="1" s="17">
      <c r="A17" s="25" t="inlineStr">
        <is>
          <t>F016</t>
        </is>
      </c>
      <c r="B17" s="25" t="inlineStr">
        <is>
          <t>File</t>
        </is>
      </c>
      <c r="C17" s="25" t="inlineStr">
        <is>
          <t>DPM49–DPM55</t>
        </is>
      </c>
      <c r="D17" s="25" t="inlineStr">
        <is>
          <t>DPM49 File format [MUST, 1..1]
object/objectCharacteristics/format
One format per file object, from the format identification of the version that adds the file (DPM109), recorded with both the format designation and the format registry. Where DROID returns no identification or more than one, the item is held for review; the operator's resolution is recorded in the format identification event's outcome detail note (DPM7, DPM109). Two files the pipeline writes itself in a fixed format are recorded without identification: the DROID report, Comma Separated Values, PRONOM x-fmt/18; and the DOME record, Extensible Markup Language 1.0, PRONOM fmt/101.
DPM50 File format name grouping [MUST, 1..1]
object/objectCharacteristics/format/formatDesignation
Always written, together with the registry grouping (DPM53).
DPM51 File format name [MUST, 1..1]
…/formatDesignation/formatName
The PRONOM format name as reported by DROID.
Example: Acrobat PDF/A - Portable Document Format
DPM52 File format version [MUST where PRONOM gives one, 0..1]
…/formatDesignation/formatVersion
The PRONOM format version, where PRONOM gives one for the identified format; absent otherwise.
Example: 2b
DPM53 File format registry grouping [MUST, 1..1]
object/objectCharacteristics/format/formatRegistry
Always written, together with the name grouping (DPM50).
DPM54 File format registry name [MUST, 1..1]
…/formatRegistry/formatRegistryName
Set to PRONOM.
DPM55 File format registry key [MUST, 1..1]
…/formatRegistry/formatRegistryKey
The PUID reported by DROID.
Example: fmt/477 (PDF/A-2b)</t>
        </is>
      </c>
      <c r="E17" s="25" t="inlineStr">
        <is>
          <t>objectCharacteristics/format</t>
        </is>
      </c>
      <c r="F17" s="25" t="inlineStr">
        <is>
          <t>7 file objects (all but the DOCX)</t>
        </is>
      </c>
      <c r="G17" s="25" t="inlineStr">
        <is>
          <t>formatName is a MIME type or label (application/pdf, application/json, text/xml, XML, application/vnd.ms-excel); no formatRegistry.</t>
        </is>
      </c>
      <c r="H17" s="25" t="inlineStr">
        <is>
          <t>PRONOM name and version as reported by DROID, formatRegistryName PRONOM, PUID as key. Expected: master fmt/477 version 2b; veraPDF report, conversion log and DOME fmt/101 version 1.0; QA report fmt/817; DROID report x-fmt/18 (Comma Separated Values, not Excel).</t>
        </is>
      </c>
      <c r="I17" s="25" t="inlineStr">
        <is>
          <t>Take the format from the DROID report, not from MIME types: formatDesignation (formatName, formatVersion where PRONOM gives one) and formatRegistry (PRONOM, PUID, role specification). Expected here: master Acrobat PDF/A - Portable Document Format, 2b, fmt/477; veraPDF report Extensible Markup Language, 1.0, fmt/101; DOME the same values, written as fixed values without DROID identification (DPM49); QA report and dome_sql_extraction.json JSON Data Interchange Format, fmt/817; DROID report Comma Separated Values, x-fmt/18; conversion log Extensible Markup Language, 1.0, fmt/101 (Aspose's XML compliance log; F027). Requires DROID to identify every file other than DOME (F046). Workflow tab: W05.</t>
        </is>
      </c>
      <c r="J17" s="25" t="inlineStr">
        <is>
          <t>Non-conformance</t>
        </is>
      </c>
      <c r="K17" s="25" t="inlineStr">
        <is>
          <t>None — fixable now</t>
        </is>
      </c>
      <c r="L17" s="26" t="inlineStr">
        <is>
          <t>EG / implementation</t>
        </is>
      </c>
      <c r="M17" s="26" t="inlineStr">
        <is>
          <t>In progress</t>
        </is>
      </c>
      <c r="N17" s="26" t="inlineStr">
        <is>
          <t>2026-10-15 implementation response: Uses DROID identifications, not MIME labels. Optional PoC6 --java/--droid-jar identifies new derived files. Missing PUIDs are explicit draft gaps; strict mode rejects them. DOME has fixed XML format.</t>
        </is>
      </c>
    </row>
    <row r="18" ht="165.75" customHeight="1" s="17">
      <c r="A18" s="25" t="inlineStr">
        <is>
          <t>F017</t>
        </is>
      </c>
      <c r="B18" s="25" t="inlineStr">
        <is>
          <t>File</t>
        </is>
      </c>
      <c r="C18" s="25" t="inlineStr">
        <is>
          <t>DPM52, DPM56</t>
        </is>
      </c>
      <c r="D18" s="25" t="inlineStr">
        <is>
          <t>DPM52 File format version [MUST where PRONOM gives one, 0..1]
…/formatDesignation/formatVersion
The PRONOM format version, where PRONOM gives one for the identified format; absent otherwise.
Example: 2b
DPM56 File format registry role [MUST, 1..1]
…/formatRegistry/formatRegistryRole
Set to specification (LoC Format Registry Role, @valueURI http://id.loc.gov/vocabulary/preservation/formatRegistryRole/spe): the PRONOM entry is the format's reference record. validation profile is not used: validation is DPM107's.
Example: specification</t>
        </is>
      </c>
      <c r="E18" s="25" t="inlineStr">
        <is>
          <t>DOCX format</t>
        </is>
      </c>
      <c r="F18" s="25" t="inlineStr">
        <is>
          <t>1</t>
        </is>
      </c>
      <c r="G18" s="25" t="inlineStr">
        <is>
          <t>PRONOM name and fmt/412 present; formatVersion and formatRegistryRole absent.</t>
        </is>
      </c>
      <c r="H18" s="25" t="inlineStr">
        <is>
          <t>formatVersion 2007 onwards; formatRegistryRole specification (with LoC authority attributes). The role applies to every file object.</t>
        </is>
      </c>
      <c r="I18" s="25" t="inlineStr">
        <is>
          <t>On the DOCX: add &lt;formatVersion&gt;2007 onwards&lt;/formatVersion&gt; after formatName, and &lt;formatRegistryRole authority="formatRegistryRole" authorityURI="http://id.loc.gov/vocabulary/preservation/formatRegistryRole" valueURI="http://id.loc.gov/vocabulary/preservation/formatRegistryRole/spe"&gt;specification&lt;/formatRegistryRole&gt; after formatRegistryKey. Add the role to every file object.</t>
        </is>
      </c>
      <c r="J18" s="25" t="inlineStr">
        <is>
          <t>Non-conformance</t>
        </is>
      </c>
      <c r="K18" s="25" t="inlineStr">
        <is>
          <t>None — fixable now</t>
        </is>
      </c>
      <c r="L18" s="26" t="inlineStr">
        <is>
          <t>EG / implementation</t>
        </is>
      </c>
      <c r="M18" s="26" t="inlineStr">
        <is>
          <t>In progress</t>
        </is>
      </c>
      <c r="N18" s="26" t="inlineStr">
        <is>
          <t>2026-10-15 implementation response: DROID version/PUID propagated; PRONOM registry role specification has authority attributes.</t>
        </is>
      </c>
    </row>
    <row r="19" ht="357" customHeight="1" s="17">
      <c r="A19" s="25" t="inlineStr">
        <is>
          <t>F018</t>
        </is>
      </c>
      <c r="B19" s="25" t="inlineStr">
        <is>
          <t>File</t>
        </is>
      </c>
      <c r="C19" s="25" t="inlineStr">
        <is>
          <t>DPM57–DPM60</t>
        </is>
      </c>
      <c r="D19" s="25" t="inlineStr">
        <is>
          <t>DPM57 Creating application [MUST for masters, 0..1]
object/objectCharacteristics/creatingApplication
For masters only: the conversion engine (Aspose.PDF for C++) that wrote the master, not the WTO program that calls it. Not recorded for other files: the software that produced a report, log or DOME record is the executing program of the event that produced it. Not written where conversion was skipped (see *Open items*).
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DPM59 Version of creating application [MUST, 1..1]
…/creatingApplication/creatingApplicationVersion
The exact version string from that edition's own version stream, as registered; the same as the engine agent's agentVersion.
Example: [ENGINE-VERSION] (to be confirmed; a version from another edition does not apply)
DPM60 Date of creation by the application [MUST, 1..1]
…/creatingApplication/dateCreatedByApplication
RFC 3339 date-time in UTC (Z), to the second; the same as the eventDateTime of the normalisation event (DPM106).
Example: 2026-10-12T08:41:52Z</t>
        </is>
      </c>
      <c r="E19" s="25" t="inlineStr">
        <is>
          <t>master/objectCharacteristics/creatingApplication</t>
        </is>
      </c>
      <c r="F19" s="25" t="inlineStr">
        <is>
          <t>0 (expected 1)</t>
        </is>
      </c>
      <c r="G19" s="25" t="inlineStr">
        <is>
          <t>Absent on the master.</t>
        </is>
      </c>
      <c r="H19" s="25" t="inlineStr">
        <is>
          <t>Aspose.PDF for C++; version as registered; dateCreatedByApplication equal to the normalisation eventDateTime.</t>
        </is>
      </c>
      <c r="I19" s="25" t="inlineStr">
        <is>
          <t>Add to the master's objectCharacteristics, after format: &lt;creatingApplication&gt;&lt;creatingApplicationName&gt;Aspose.PDF for C++&lt;/creatingApplicationName&gt;&lt;creatingApplicationVersion&gt;[ENGINE-VERSION]&lt;/creatingApplicationVersion&gt;&lt;dateCreatedByApplication&gt;[normalisation eventDateTime]&lt;/dateCreatedByApplication&gt;&lt;/creatingApplication&gt;. The edition depends on F043.</t>
        </is>
      </c>
      <c r="J19" s="25" t="inlineStr">
        <is>
          <t>Non-conformance</t>
        </is>
      </c>
      <c r="K19" s="25" t="inlineStr">
        <is>
          <t>Engine identity (edition and version)</t>
        </is>
      </c>
      <c r="L19" s="26" t="inlineStr">
        <is>
          <t>EG / implementation</t>
        </is>
      </c>
      <c r="M19" s="26" t="inlineStr">
        <is>
          <t>In progress</t>
        </is>
      </c>
      <c r="N19" s="26" t="inlineStr">
        <is>
          <t>2026-10-15 implementation response: Creating application is actual Aspose.PDF for .NET 25.10.0, with per-conversion completion time; omitted on skipped conversion. Profile C++ label needs amendment.</t>
        </is>
      </c>
    </row>
    <row r="20" ht="76.5" customHeight="1" s="17">
      <c r="A20" s="25" t="inlineStr">
        <is>
          <t>F019</t>
        </is>
      </c>
      <c r="B20" s="25" t="inlineStr">
        <is>
          <t>File</t>
        </is>
      </c>
      <c r="C20" s="25" t="inlineStr">
        <is>
          <t>DPM63</t>
        </is>
      </c>
      <c r="D20" s="25" t="inlineStr">
        <is>
          <t>DPM63 Original name [MUST on published PDFs and renamed files, 0..1]
object/originalName
The DOL file name: on every published PDF, and on every held file renamed from its DOL name (DPM105). Not written on files produced by the pipeline (masters, reports, logs, DOME), which have no DOL name of their own.
Example: WTGCWT849.pdf</t>
        </is>
      </c>
      <c r="E20" s="25" t="inlineStr">
        <is>
          <t>object/originalName</t>
        </is>
      </c>
      <c r="F20" s="25" t="inlineStr">
        <is>
          <t>8 file objects</t>
        </is>
      </c>
      <c r="G20" s="25" t="inlineStr">
        <is>
          <t>Written on every file, with the logical path as value.</t>
        </is>
      </c>
      <c r="H20" s="25" t="inlineStr">
        <is>
          <t>Only on published PDFs and on held files renamed from their DOL name (here: the DOCX), with the DOL file name as value; absent on the master, reports, logs and DOME.</t>
        </is>
      </c>
      <c r="I20" s="25" t="inlineStr">
        <is>
          <t>Remove originalName from the master, the reports, the conversion log, dome_sql_extraction.json and DOME. On the DOCX, set it to the DOL file name, not the path. On the published PDF object (F013), the DOL file name. The DOL file name is in DOME: &lt;filePath&gt;V:\G\SPS\NCHL890A1.docx&lt;/filePath&gt; gives NCHL890A1.docx for the Spanish DOCX.</t>
        </is>
      </c>
      <c r="J20" s="25" t="inlineStr">
        <is>
          <t>Non-conformance</t>
        </is>
      </c>
      <c r="K20" s="25" t="inlineStr">
        <is>
          <t>None — fixable now</t>
        </is>
      </c>
      <c r="L20" s="26" t="inlineStr">
        <is>
          <t>EG / implementation</t>
        </is>
      </c>
      <c r="M20" s="26" t="inlineStr">
        <is>
          <t>In progress</t>
        </is>
      </c>
      <c r="N20" s="26" t="inlineStr">
        <is>
          <t>2026-10-15 implementation response: originalName is a filename only; published PDFs and renamed held source files only; omitted on masters/reports/DOME.</t>
        </is>
      </c>
    </row>
    <row r="21" ht="153" customHeight="1" s="17">
      <c r="A21" s="25" t="inlineStr">
        <is>
          <t>F020</t>
        </is>
      </c>
      <c r="B21" s="25" t="inlineStr">
        <is>
          <t>File</t>
        </is>
      </c>
      <c r="C21" s="25" t="inlineStr">
        <is>
          <t>DPM67, DPM74</t>
        </is>
      </c>
      <c r="D21" s="25" t="inlineStr">
        <is>
          <t>DPM67 Subtype of the relationship [MUST, 1..1]
object/relationship/relationshipSubType
From the LoC relationship subtype vocabulary, or a local subtype defined in the *Relationship catalogue*.
Example: has Source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t>
        </is>
      </c>
      <c r="E21" s="25" t="inlineStr">
        <is>
          <t>file/relationship (structural)</t>
        </is>
      </c>
      <c r="F21" s="25" t="inlineStr">
        <is>
          <t>8 file objects</t>
        </is>
      </c>
      <c r="G21" s="25" t="inlineStr">
        <is>
          <t>structural / is part of on all 8 files, related object ec1921e0-… (the intellectual entity, mistyped as a representation: F006). is Part Of is an LoC subtype (…/relationshipSubType/isp), but not the one the profile uses.</t>
        </is>
      </c>
      <c r="H21" s="25" t="inlineStr">
        <is>
          <t>structural / is Included In → rep_1 (DOCX) or rep_2 (master) only. DOME, the DROID report, the conversion log and the reports belong to no representation and carry no structural relationship.</t>
        </is>
      </c>
      <c r="I21" s="25" t="inlineStr">
        <is>
          <t>DOCX: structural / is Included In → [REP_1-UUID]; master: structural / is Included In → [REP_2-UUID]. Remove the structural relationship from the 6 files outside the representations (DOME, dome_sql_extraction.json, DROID report, conversion log, veraPDF and QA reports). Write the subtype label exactly as LoC authorises it: is Included In (…/relationshipSubType/isi). See the Controlled values tab.</t>
        </is>
      </c>
      <c r="J21" s="25" t="inlineStr">
        <is>
          <t>Non-conformance</t>
        </is>
      </c>
      <c r="K21" s="25" t="inlineStr">
        <is>
          <t>None — fixable now</t>
        </is>
      </c>
      <c r="L21" s="26" t="inlineStr">
        <is>
          <t>EG / implementation</t>
        </is>
      </c>
      <c r="M21" s="26" t="inlineStr">
        <is>
          <t>In progress</t>
        </is>
      </c>
      <c r="N21" s="26" t="inlineStr">
        <is>
          <t>2026-10-15 implementation response: Only representation files receive structural membership; evidence and DOME do not.</t>
        </is>
      </c>
    </row>
    <row r="22" ht="204" customHeight="1" s="17">
      <c r="A22" s="25" t="inlineStr">
        <is>
          <t>F021</t>
        </is>
      </c>
      <c r="B22" s="25" t="inlineStr">
        <is>
          <t>File</t>
        </is>
      </c>
      <c r="C22" s="25" t="inlineStr">
        <is>
          <t>DPM75, DPM69</t>
        </is>
      </c>
      <c r="D22" s="25" t="inlineStr">
        <is>
          <t>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
DPM69 Identifier to related event [MUST on derivation and dependency, 0..1]
object/relationship/relatedEventIdentifier
On derivation and dependency relationships: type UUID; value the UUID of the event that produced the relationship (normalisation, DPM106, for has Source; conformance validation, DPM107, for a veraPDF report; fidelity review, DPM108, for a QA report; normalisation, DPM106, for a conversion log). The event is in the same PREMIS file.
Example: 6310d573-4066-4796-8c3c-6bcff1f956fc (the normalisation)</t>
        </is>
      </c>
      <c r="E22" s="25" t="inlineStr">
        <is>
          <t>master/relationship (derivation)</t>
        </is>
      </c>
      <c r="F22" s="25" t="inlineStr">
        <is>
          <t>0 (expected 1)</t>
        </is>
      </c>
      <c r="G22" s="25" t="inlineStr">
        <is>
          <t>No derivation relationship.</t>
        </is>
      </c>
      <c r="H22" s="25" t="inlineStr">
        <is>
          <t>derivation / has Source → published PDF UUID, with relatedEventIdentifier → normalisation event UUID.</t>
        </is>
      </c>
      <c r="I22" s="25" t="inlineStr">
        <is>
          <t>On the master add: relationship derivation / has Source → [published PDF UUID], with relatedEventIdentifier type UUID, value the normalisation event UUID.</t>
        </is>
      </c>
      <c r="J22" s="25" t="inlineStr">
        <is>
          <t>Non-conformance</t>
        </is>
      </c>
      <c r="K22" s="25" t="inlineStr">
        <is>
          <t>None — fixable now</t>
        </is>
      </c>
      <c r="L22" s="26" t="inlineStr">
        <is>
          <t>EG / implementation</t>
        </is>
      </c>
      <c r="M22" s="26" t="inlineStr">
        <is>
          <t>In progress</t>
        </is>
      </c>
      <c r="N22" s="26" t="inlineStr">
        <is>
          <t>2026-10-15 implementation response: Converted masters link derivation/has Source to source UUID plus normalization event UUID.</t>
        </is>
      </c>
    </row>
    <row r="23" ht="76.5" customHeight="1" s="17">
      <c r="A23" s="25" t="inlineStr">
        <is>
          <t>F022</t>
        </is>
      </c>
      <c r="B23" s="25" t="inlineStr">
        <is>
          <t>File</t>
        </is>
      </c>
      <c r="C23" s="25" t="inlineStr">
        <is>
          <t>DPM76</t>
        </is>
      </c>
      <c r="D23" s="25" t="inlineStr">
        <is>
          <t>DPM76 Validation report [MUST, 1..1 per veraPDF report]
object[@xsi:type='file']/relationship on a veraPDF report
dependency / isValidationReportOf (local subtype), related object the master, related event the conformance validation (DPM107).
Example: related object 3aaa37c1-1f81-48f5-8144-cd222bfa84c7 (the English master)</t>
        </is>
      </c>
      <c r="E23" s="25" t="inlineStr">
        <is>
          <t>veraPDF report/relationship</t>
        </is>
      </c>
      <c r="F23" s="25" t="inlineStr">
        <is>
          <t>0 (expected 1)</t>
        </is>
      </c>
      <c r="G23" s="25" t="inlineStr">
        <is>
          <t>Absent.</t>
        </is>
      </c>
      <c r="H23" s="25" t="inlineStr">
        <is>
          <t>dependency / isValidationReportOf (local) → master, with relatedEventIdentifier → conformance validation.</t>
        </is>
      </c>
      <c r="I23" s="25" t="inlineStr">
        <is>
          <t>On the veraPDF report add: relationship dependency / isValidationReportOf (authority="local") → [master UUID], with relatedEventIdentifier → the validation event UUID.</t>
        </is>
      </c>
      <c r="J23" s="25" t="inlineStr">
        <is>
          <t>Non-conformance</t>
        </is>
      </c>
      <c r="K23" s="25" t="inlineStr">
        <is>
          <t>None — fixable now</t>
        </is>
      </c>
      <c r="L23" s="26" t="inlineStr">
        <is>
          <t>EG / implementation</t>
        </is>
      </c>
      <c r="M23" s="26" t="inlineStr">
        <is>
          <t>In progress</t>
        </is>
      </c>
      <c r="N23" s="26" t="inlineStr">
        <is>
          <t>2026-10-15 implementation response: Validation report dependency links to master and validation event.</t>
        </is>
      </c>
    </row>
    <row r="24" ht="76.5" customHeight="1" s="17">
      <c r="A24" s="25" t="inlineStr">
        <is>
          <t>F023</t>
        </is>
      </c>
      <c r="B24" s="25" t="inlineStr">
        <is>
          <t>File</t>
        </is>
      </c>
      <c r="C24" s="25" t="inlineStr">
        <is>
          <t>DPM77</t>
        </is>
      </c>
      <c r="D24" s="25" t="inlineStr">
        <is>
          <t>DPM77 QA report [MUST, 1..1 per QA report]
object[@xsi:type='file']/relationship on a QA report
dependency / isQaReportOf (local subtype), related object the master, related event the fidelity review (DPM108).
Example: related object 3aaa37c1-1f81-48f5-8144-cd222bfa84c7 (the English master)</t>
        </is>
      </c>
      <c r="E24" s="25" t="inlineStr">
        <is>
          <t>QA report/relationship</t>
        </is>
      </c>
      <c r="F24" s="25" t="inlineStr">
        <is>
          <t>0 (expected 1)</t>
        </is>
      </c>
      <c r="G24" s="25" t="inlineStr">
        <is>
          <t>Absent.</t>
        </is>
      </c>
      <c r="H24" s="25" t="inlineStr">
        <is>
          <t>dependency / isQaReportOf (local) → master, with relatedEventIdentifier → fidelity review.</t>
        </is>
      </c>
      <c r="I24" s="25" t="inlineStr">
        <is>
          <t>On the QA report add: relationship dependency / isQaReportOf (authority="local") → [master UUID], with relatedEventIdentifier → the QA (fidelity review) event UUID.</t>
        </is>
      </c>
      <c r="J24" s="25" t="inlineStr">
        <is>
          <t>Non-conformance</t>
        </is>
      </c>
      <c r="K24" s="25" t="inlineStr">
        <is>
          <t>None — fixable now</t>
        </is>
      </c>
      <c r="L24" s="26" t="inlineStr">
        <is>
          <t>EG / implementation</t>
        </is>
      </c>
      <c r="M24" s="26" t="inlineStr">
        <is>
          <t>In progress</t>
        </is>
      </c>
      <c r="N24" s="26" t="inlineStr">
        <is>
          <t>2026-10-15 implementation response: QA report dependency links to master and fidelity review event.</t>
        </is>
      </c>
    </row>
    <row r="25" ht="63.75" customHeight="1" s="17">
      <c r="A25" s="25" t="inlineStr">
        <is>
          <t>F024</t>
        </is>
      </c>
      <c r="B25" s="25" t="inlineStr">
        <is>
          <t>File</t>
        </is>
      </c>
      <c r="C25" s="25" t="inlineStr">
        <is>
          <t>Placement and file model</t>
        </is>
      </c>
      <c r="D25" s="25" t="inlineStr">
        <is>
          <t>File names (Placement and file model)
File names. The PREMIS file and the root METS carry the object's JOB_ID as a prefix: {JOB_ID}_premis.xml and {JOB_ID}_mets.xml, the latter at the root of content/. The prefix makes either file identifiable when copied out of its package. The DOME record is held at metadata/descriptive/{JOB_ID}_dome.xml.</t>
        </is>
      </c>
      <c r="E25" s="25" t="inlineStr">
        <is>
          <t>metadata/2026_011922_dome.xml</t>
        </is>
      </c>
      <c r="F25" s="25" t="inlineStr">
        <is>
          <t>1</t>
        </is>
      </c>
      <c r="G25" s="25" t="inlineStr">
        <is>
          <t>DOME held at metadata/2026_011922_dome.xml.</t>
        </is>
      </c>
      <c r="H25" s="25" t="inlineStr">
        <is>
          <t>metadata/descriptive/2026_011922_dome.xml.</t>
        </is>
      </c>
      <c r="I25" s="25" t="inlineStr">
        <is>
          <t>Write DOME to metadata/descriptive/2026_011922_dome.xml and use that path as its filepath identifier. Workflow tab: W07.</t>
        </is>
      </c>
      <c r="J25" s="25" t="inlineStr">
        <is>
          <t>Non-conformance</t>
        </is>
      </c>
      <c r="K25" s="25" t="inlineStr">
        <is>
          <t>None — fixable now</t>
        </is>
      </c>
      <c r="L25" s="26" t="inlineStr">
        <is>
          <t>EG / implementation</t>
        </is>
      </c>
      <c r="M25" s="26" t="inlineStr">
        <is>
          <t>In progress</t>
        </is>
      </c>
      <c r="N25" s="26" t="inlineStr">
        <is>
          <t>2026-10-15 implementation response: DOME placed at metadata/descriptive/JOB_dome.xml.</t>
        </is>
      </c>
    </row>
    <row r="26" ht="76.5" customHeight="1" s="17">
      <c r="A26" s="25" t="inlineStr">
        <is>
          <t>F025</t>
        </is>
      </c>
      <c r="B26" s="25" t="inlineStr">
        <is>
          <t>File</t>
        </is>
      </c>
      <c r="C26" s="25" t="inlineStr">
        <is>
          <t>DPM105; Placement and file model, Canonical names</t>
        </is>
      </c>
      <c r="D26" s="25" t="inlineStr">
        <is>
          <t>DPM105 Filename change [MUST, 1 per renamed held file]
event[eventType='filename change']
A held file renamed from its DOL name to its canonical name (Placement and file model, Canonical names). Linked object: the file. Side: preparation.
Canonical names (Placement and file model)
Every held file has a canonical name, built from the JOB_ID and, for a file of one language version, its language code ({lang}, from vocODRNSLanguage). A file acquired from DOL is renamed to its canonical name (DPM105) and keeps its DOL name in originalName (DPM63); a file the pipeline produces is written under its canonical name. Nothing else from DOL, such as its drive, folder path or file name, enters the name.</t>
        </is>
      </c>
      <c r="E26" s="25" t="inlineStr">
        <is>
          <t>File names</t>
        </is>
      </c>
      <c r="F26" s="25" t="inlineStr">
        <is>
          <t>6 files</t>
        </is>
      </c>
      <c r="G26" s="25" t="inlineStr">
        <is>
          <t>Names carry the symbol: 2026_011922_es_G_SPS_NCHL890A1.docx/.pdf and the reports named likewise. The DOL name itself is recorded in DOME (&lt;filePath&gt;V:\G\SPS\NCHL890A1.docx&lt;/filePath&gt;).</t>
        </is>
      </c>
      <c r="H26" s="25" t="inlineStr">
        <is>
          <t>Canonical names, e.g. representations/rep_1/data/es/2026_011922_es.docx, representations/rep_2/data/es/2026_011922_es.pdf, documentation/2026_011922_es_val_verapdf.xml; the DOL name in originalName (DPM63).</t>
        </is>
      </c>
      <c r="I26" s="25" t="inlineStr">
        <is>
          <t>Write every held file under its canonical name (profile, Canonical names table), record the DOL file name in originalName (DPM63), and write the filename change event for each renamed file (DPM105, F041). Workflow tab: W07.</t>
        </is>
      </c>
      <c r="J26" s="25" t="inlineStr">
        <is>
          <t>Non-conformance</t>
        </is>
      </c>
      <c r="K26" s="25" t="inlineStr">
        <is>
          <t>None — fixable now</t>
        </is>
      </c>
      <c r="L26" s="26" t="inlineStr">
        <is>
          <t>EG / implementation</t>
        </is>
      </c>
      <c r="M26" s="26" t="inlineStr">
        <is>
          <t>In progress</t>
        </is>
      </c>
      <c r="N26" s="26" t="inlineStr">
        <is>
          <t>Profile issue resolved 2026-10-12: the profile now defines canonical names (Placement and file model, Canonical names), so the finding is reclassified as a non-conformance.
2026-10-15 implementation response: Existing canonical DOL names preserved; unique suffixes support multiple same-language files. Attachment masters use stable source UUID paths. Naming policy extensions need profile review.</t>
        </is>
      </c>
    </row>
    <row r="27" ht="165.75" customHeight="1" s="17">
      <c r="A27" s="25" t="inlineStr">
        <is>
          <t>F026</t>
        </is>
      </c>
      <c r="B27" s="25" t="inlineStr">
        <is>
          <t>File</t>
        </is>
      </c>
      <c r="C27" s="25" t="inlineStr">
        <is>
          <t>Open item: per-package processing records</t>
        </is>
      </c>
      <c r="D27" s="25" t="inlineStr">
        <is>
          <t>Open item: Per-package processing records
Established: each stage writes a JSON processing record (status and results), separate from the tool's own report (e.g. 2026_012439_en_val_verapdf.xml and 2026_012439_poc3_validation_record.json). The BagIt and OCFL ingest records (…_poc8_ingest_verification_record.json, …_poc9_ocfl_ingest_record.json) are kept with the workflow's operational records (ingest-records/), not in the AIP; ingest provenance inside the AIP is PREMIS (DPM112, DPM113) and the inventory commit record (DPM14). Proposed: records of stages before bagging that are held in the package are described as file objects and linked, with the stage's report, as outcome of the stage's event. To confirm: that those records are held in the package and where; the full list of files in one package; the production names of the records (poc is used for the PoC only and will change); retention of ingest-records/.</t>
        </is>
      </c>
      <c r="E27" s="25" t="inlineStr">
        <is>
          <t>documentation/2026_011922_dome_sql_extraction.json</t>
        </is>
      </c>
      <c r="F27" s="25" t="inlineStr">
        <is>
          <t>1</t>
        </is>
      </c>
      <c r="G27" s="25" t="inlineStr">
        <is>
          <t>File held and described; not anticipated by the profile.</t>
        </is>
      </c>
      <c r="H27" s="25" t="inlineStr">
        <is>
          <t>Confirm whether it is held; if so, which event it is the outcome of (DOME creation/revision, DPM116 or DPM110).</t>
        </is>
      </c>
      <c r="I27" s="25" t="inlineStr">
        <is>
          <t>Developer: confirm whether dome_sql_extraction.json is held in the package and what produces it. If held, keep it as a file object and link it as an outcome of the DOME event (F048). Workflow tab: W09.</t>
        </is>
      </c>
      <c r="J27" s="25" t="inlineStr">
        <is>
          <t>Question</t>
        </is>
      </c>
      <c r="K27" s="25" t="inlineStr">
        <is>
          <t>Open item: per-package processing records</t>
        </is>
      </c>
      <c r="L27" s="26" t="inlineStr">
        <is>
          <t>EG / implementation</t>
        </is>
      </c>
      <c r="M27" s="26" t="inlineStr">
        <is>
          <t>In progress</t>
        </is>
      </c>
      <c r="N27" s="26" t="inlineStr">
        <is>
          <t>2026-10-15 implementation response: Decision proposed: retain SQL extraction as provenance; describe its bytes in PREMIS. Schema-independent extraction is not regenerated when SQL content is unchanged. Dedicated event outcome link remains a gap.</t>
        </is>
      </c>
    </row>
    <row r="28" ht="191.25" customHeight="1" s="17">
      <c r="A28" s="25" t="inlineStr">
        <is>
          <t>F027</t>
        </is>
      </c>
      <c r="B28" s="25" t="inlineStr">
        <is>
          <t>File</t>
        </is>
      </c>
      <c r="C28" s="25" t="inlineStr">
        <is>
          <t>Open items: conversion program; conversion log relationship</t>
        </is>
      </c>
      <c r="D28" s="25" t="inlineStr">
        <is>
          <t>Open item: Conversion program
The WTO C++ program that runs Aspose.PDF for C++: whether it takes settings beyond the target level that affect the result, whether the engine reports what it altered or removed, and whether a conversion log is written and held. DPM106 records only the target level and the reported alterations until this is confirmed; whether a conversion log is held, and so whether DPM118 and its outcome link on DPM106 apply, depends on it. If the WTO program passes instructions to Aspose beyond the target level that affect the master, each is recorded as an event detail of DPM106, as the target level is; Aspose remains the executing program, and the WTO program is not recorded as an agent.
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t>
        </is>
      </c>
      <c r="E28" s="25" t="inlineStr">
        <is>
          <t>documentation/…_conv_aspose.xml</t>
        </is>
      </c>
      <c r="F28" s="25" t="inlineStr">
        <is>
          <t>1</t>
        </is>
      </c>
      <c r="G28" s="25" t="inlineStr">
        <is>
          <t>Conversion log held as .xml; profile examples show _conv_aspose.log.</t>
        </is>
      </c>
      <c r="H28" s="25" t="inlineStr">
        <is>
          <t>Confirm the log's format and name. DPM118 applies, since the log is held: see F056.</t>
        </is>
      </c>
      <c r="I28" s="25" t="inlineStr">
        <is>
          <t>Developer: confirm the conversion log's format (.xml, as held, or .log, as in the profile examples) and its name. Its relationship and event link are F056.</t>
        </is>
      </c>
      <c r="J28" s="25" t="inlineStr">
        <is>
          <t>Question</t>
        </is>
      </c>
      <c r="K28" s="25" t="inlineStr">
        <is>
          <t>Open item: conversion program</t>
        </is>
      </c>
      <c r="L28" s="26" t="inlineStr">
        <is>
          <t>EG</t>
        </is>
      </c>
      <c r="M28" s="26" t="inlineStr">
        <is>
          <t>Closed</t>
        </is>
      </c>
      <c r="N28" s="26" t="inlineStr">
        <is>
          <t>Resolved in the profile, 2026-10-12: the held log is Aspose's XML compliance log (&lt;Compliance Name="Log" Operation="Validation" Target="PDF/A-2B"&gt;), so the profile now names it {JOB_ID}_{lang}_conv_aspose.xml (Placement and file model, Canonical names) and records its format as XML, fmt/101. Its relationship and event link remain F056.
2026-10-15 implementation response: Confirmed actual converter evidence is XML, when Aspose emits it; already-PDF/A skips may produce no conversion log.</t>
        </is>
      </c>
    </row>
    <row r="29" ht="280.5" customHeight="1" s="17">
      <c r="A29" s="25" t="inlineStr">
        <is>
          <t>F028</t>
        </is>
      </c>
      <c r="B29" s="25" t="inlineStr">
        <is>
          <t>File</t>
        </is>
      </c>
      <c r="C29" s="25" t="inlineStr">
        <is>
          <t>Open item: DROID report (DPM109)</t>
        </is>
      </c>
      <c r="D29"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
Open item: DROID report (DPM109)
Established: DROID runs per batch; the report is generated per JOB_ID and covers only the files new in the version (with the published PDFs of new masters). To confirm with the developer: the file name ({JOB_ID}_ff_droid.csv and {JOB_ID}_droid_export.csv have both been given; what ff stands for); and whether it carries the version number (proposed {JOB_ID}_ff_droid_v{N}.csv), so that a later version's report does not supersede an earlier one at the same path. With a versioned name, each version's report is a file added at a new path, and a language_added version changes only premis.xml, METS.xml and the DOME record at existing paths; with one path, the report is replaced in every version and each predecessor stays described as a superseded file. Example 2 follows from the answer.</t>
        </is>
      </c>
      <c r="E29" s="25" t="inlineStr">
        <is>
          <t>documentation/2026_011922_droid_export.csv</t>
        </is>
      </c>
      <c r="F29" s="25" t="inlineStr">
        <is>
          <t>1</t>
        </is>
      </c>
      <c r="G29" s="25" t="inlineStr">
        <is>
          <t>Named _droid_export.csv.</t>
        </is>
      </c>
      <c r="H29" s="25" t="inlineStr">
        <is>
          <t>Profile examples use {JOB_ID}_ff_droid.csv; the open item asks which, and whether the version number is included.</t>
        </is>
      </c>
      <c r="I29" s="25" t="inlineStr">
        <is>
          <t>Developer: confirm the DROID report's name and whether it carries the version number. Profile owner: settle the open item.</t>
        </is>
      </c>
      <c r="J29" s="25" t="inlineStr">
        <is>
          <t>Question</t>
        </is>
      </c>
      <c r="K29" s="25" t="inlineStr">
        <is>
          <t>Open item: DROID report</t>
        </is>
      </c>
      <c r="L29" s="26" t="inlineStr">
        <is>
          <t>EG / implementation</t>
        </is>
      </c>
      <c r="M29" s="26" t="inlineStr">
        <is>
          <t>In progress</t>
        </is>
      </c>
      <c r="N29" s="26" t="inlineStr">
        <is>
          <t>2026-10-15 implementation response: Retain unique per-run DROID CSV names to avoid overwriting earlier reports. Final canonical naming remains a team decision.</t>
        </is>
      </c>
    </row>
    <row r="30" ht="409.5" customHeight="1" s="17">
      <c r="A30" s="25" t="inlineStr">
        <is>
          <t>F029</t>
        </is>
      </c>
      <c r="B30" s="25" t="inlineStr">
        <is>
          <t>Event</t>
        </is>
      </c>
      <c r="C30" s="25" t="inlineStr">
        <is>
          <t>DPM90, DPM8, DPM9</t>
        </is>
      </c>
      <c r="D30" s="25" t="inlineStr">
        <is>
          <t>DPM90 Identification value [MUST, 1..1]
event/eventIdentifier/eventIdentifierValue
A UUID version 4, without prefix, minted when the event is written (DPM8).
Example: 6310d573-4066-4796-8c3c-6bcff1f956fc
DPM8 Mint once [MUST, —]
every UUID written to PREMIS
Every object, representation, file, event, agent, batch, SIP and rights statement has one uuid4, given once and kept permanently, including through corrections (DPM5). A UUID is never given to a second entity, except the object's UUID, which names both the intellectual entity and its AIP (DPM23): a changed file is a new file with a new UUID, never the identifier of the file it replaces at the same logical path; a new software version is a new agent with a new UUID. Object, representation, file, event, batch and SIP UUIDs are minted by the preparation and ingest sides when the entity is created. The AIP has no UUID of its own: it is identified by the intellectual entity's UUID, minted by the preparation side with ingestion start (DPM102) in the object's first version and carried, in urn:uuid: form, as the OCFL inventory id and the root METS @OBJID (DPM23). An AIP version is identified by that UUID and its OCFL version (e.g. v2), without a UUID of its own. Agent UUIDs are minted in the agent registry when the agent is registered and are only copied into PREMIS (DPM81). Every UUID is checked against the UUID registry and entered in it when minted, before it is used (DPM9); a UUID already present halts the item for review and is never resolved by re-minting.
DPM9 UUID registry [MUST, 1..1 per repository]
[UUID-REGISTRY]
One append-only registry records every UUID minted in the repository, one row per UUID, with the columns set out under *The UUID registry*. It is kept as a CSV file or as a table in an SQL Server database (see *Open items*). A row is appended when the UUID is minted, before it is used; it is never edited or removed, including for UUIDs given to attempts that never reached an AIP. Concurrent writers are serialised: by a file lock for a CSV file; by the database's transactions for SQL Server, where a unique constraint on uuid also enforces uniqueness and writers are granted insert but not update or delete. The preparation and ingest sides append rows for the UUIDs they mint; whoever registers an agent appends a row for its UUID at registration. The UUID registry reserves identifiers only: what a UUID describes is recorded in PREMIS or in the agent registry.</t>
        </is>
      </c>
      <c r="E30" s="25" t="inlineStr">
        <is>
          <t>event/eventIdentifier/eventIdentifierValue</t>
        </is>
      </c>
      <c r="F30" s="25" t="inlineStr">
        <is>
          <t>6 events</t>
        </is>
      </c>
      <c r="G30" s="25" t="inlineStr">
        <is>
          <t>UUIDs are version 5 (third group starts with 5: 57e7, 58c2, 55a3, 5bf2, 5e95, 5a92).</t>
        </is>
      </c>
      <c r="H30" s="25" t="inlineStr">
        <is>
          <t>uuid4, minted once and entered in the UUID registry before use. Note: v5 is name-based and deterministic, so a rerun regenerates the same UUIDs, which conflicts with mint-once.</t>
        </is>
      </c>
      <c r="I30" s="25" t="inlineStr">
        <is>
          <t>Generate event UUIDs with uuid.uuid4(), not uuid5, and enter each in the UUID registry before use. Workflow tab: W15.</t>
        </is>
      </c>
      <c r="J30" s="25" t="inlineStr">
        <is>
          <t>Non-conformance</t>
        </is>
      </c>
      <c r="K30" s="25" t="inlineStr">
        <is>
          <t>None — fixable now</t>
        </is>
      </c>
      <c r="L30" s="26" t="inlineStr">
        <is>
          <t>EG / implementation</t>
        </is>
      </c>
      <c r="M30" s="26" t="inlineStr">
        <is>
          <t>In progress</t>
        </is>
      </c>
      <c r="N30" s="26" t="inlineStr">
        <is>
          <t>2026-10-15 implementation response: Event IDs are UUID4, minted once through the registry; never UUID5.</t>
        </is>
      </c>
    </row>
    <row r="31" ht="89.25" customHeight="1" s="17">
      <c r="A31" s="25" t="inlineStr">
        <is>
          <t>F030</t>
        </is>
      </c>
      <c r="B31" s="25" t="inlineStr">
        <is>
          <t>Event</t>
        </is>
      </c>
      <c r="C31" s="25" t="inlineStr">
        <is>
          <t>DPM91</t>
        </is>
      </c>
      <c r="D31" s="25" t="inlineStr">
        <is>
          <t>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t>
        </is>
      </c>
      <c r="E31" s="25" t="inlineStr">
        <is>
          <t>event/eventType</t>
        </is>
      </c>
      <c r="F31" s="25" t="inlineStr">
        <is>
          <t>6 events</t>
        </is>
      </c>
      <c r="G31" s="25" t="inlineStr">
        <is>
          <t>ingestion and quality assurance are not in the profile's vocabulary. ingestion is an LoC event type (…/eventType/ing) but not the one the profile uses (ingestion start, DPM102); quality assurance is not an LoC term.</t>
        </is>
      </c>
      <c r="H31" s="25" t="inlineStr">
        <is>
          <t>Only catalogue types: ingestion start, message digest calculation, fixity check, filename change, normalization, validation, format identification, metadata modification, information package creation; qualityReview (local).</t>
        </is>
      </c>
      <c r="I31" s="25" t="inlineStr">
        <is>
          <t>Map each step to its catalogue type: PoC1 → one ingestion start (on the IE) plus message digest calculation and fixity check per file; quality assurance → qualityReview with authority="local". Add the authority attributes (F005).</t>
        </is>
      </c>
      <c r="J31" s="25" t="inlineStr">
        <is>
          <t>Non-conformance</t>
        </is>
      </c>
      <c r="K31" s="25" t="inlineStr">
        <is>
          <t>None — fixable now</t>
        </is>
      </c>
      <c r="L31" s="26" t="inlineStr">
        <is>
          <t>EG / implementation</t>
        </is>
      </c>
      <c r="M31" s="26" t="inlineStr">
        <is>
          <t>In progress</t>
        </is>
      </c>
      <c r="N31" s="26" t="inlineStr">
        <is>
          <t>2026-10-15 implementation response: Event catalogue types used, including local qualityReview.</t>
        </is>
      </c>
    </row>
    <row r="32" ht="51" customHeight="1" s="17">
      <c r="A32" s="25" t="inlineStr">
        <is>
          <t>F031</t>
        </is>
      </c>
      <c r="B32" s="25" t="inlineStr">
        <is>
          <t>Event</t>
        </is>
      </c>
      <c r="C32" s="25" t="inlineStr">
        <is>
          <t>DPM92</t>
        </is>
      </c>
      <c r="D32" s="25" t="inlineStr">
        <is>
          <t>DPM92 Time of the event [MUST, 1..1]
event/eventDateTime
The time the event completed: RFC 3339 date-time in UTC (Z), to the second.
Example: 2026-10-12T08:41:52Z</t>
        </is>
      </c>
      <c r="E32" s="25" t="inlineStr">
        <is>
          <t>event/eventDateTime</t>
        </is>
      </c>
      <c r="F32" s="25" t="inlineStr">
        <is>
          <t>6 events</t>
        </is>
      </c>
      <c r="G32" s="25" t="inlineStr">
        <is>
          <t>Microsecond precision; format identification uses +00:00 instead of Z.</t>
        </is>
      </c>
      <c r="H32" s="25" t="inlineStr">
        <is>
          <t>RFC 3339 in UTC with Z, to the second (e.g. 2026-10-09T13:10:47Z).</t>
        </is>
      </c>
      <c r="I32" s="25" t="inlineStr">
        <is>
          <t>Use one function for every event time: datetime.now(timezone.utc).replace(microsecond=0).strftime("%Y-%m-%dT%H:%M:%SZ"), e.g. 2026-10-09T13:10:47Z. The format identification event currently comes from a different code path.</t>
        </is>
      </c>
      <c r="J32" s="25" t="inlineStr">
        <is>
          <t>Non-conformance</t>
        </is>
      </c>
      <c r="K32" s="25" t="inlineStr">
        <is>
          <t>None — fixable now</t>
        </is>
      </c>
      <c r="L32" s="26" t="inlineStr">
        <is>
          <t>EG / implementation</t>
        </is>
      </c>
      <c r="M32" s="26" t="inlineStr">
        <is>
          <t>In progress</t>
        </is>
      </c>
      <c r="N32" s="26" t="inlineStr">
        <is>
          <t>2026-10-15 implementation response: All profile event times normalized to second-resolution UTC with Z.</t>
        </is>
      </c>
    </row>
    <row r="33" ht="102" customHeight="1" s="17">
      <c r="A33" s="25" t="inlineStr">
        <is>
          <t>F032</t>
        </is>
      </c>
      <c r="B33" s="25" t="inlineStr">
        <is>
          <t>Event</t>
        </is>
      </c>
      <c r="C33" s="25" t="inlineStr">
        <is>
          <t>DPM93</t>
        </is>
      </c>
      <c r="D33" s="25" t="inlineStr">
        <is>
          <t>DPM93 Catalogue name [MUST, 1..n]
event/eventDetailInformation[1]/eventDetail
The first event detail, exactly one, gives the event's catalogue name and ID; it distinguishes events that share an event type (two fixity checks; two information package creations). The ID is written permanently into preserved PREMIS, which is one reason IDs are allocate-once. Further details follow, each in its own eventDetailInformation, as the catalogue entry specifies.
Example: normalisation (DPM106)</t>
        </is>
      </c>
      <c r="E33" s="25" t="inlineStr">
        <is>
          <t>event/eventDetailInformation[1]/eventDetail</t>
        </is>
      </c>
      <c r="F33" s="25" t="inlineStr">
        <is>
          <t>6 events</t>
        </is>
      </c>
      <c r="G33" s="25" t="inlineStr">
        <is>
          <t>"DPR PoCn; source record status: …".</t>
        </is>
      </c>
      <c r="H33" s="25" t="inlineStr">
        <is>
          <t>Catalogue name and ID (e.g. normalisation (DPM106)); further details each in their own eventDetailInformation.</t>
        </is>
      </c>
      <c r="I33" s="25" t="inlineStr">
        <is>
          <t>Make the first eventDetail the catalogue name and ID, e.g. normalisation (DPM106). Move the PoC status to the run report. Write each further detail (target_level, validation_profile, …) in its own eventDetailInformation.</t>
        </is>
      </c>
      <c r="J33" s="25" t="inlineStr">
        <is>
          <t>Non-conformance</t>
        </is>
      </c>
      <c r="K33" s="25" t="inlineStr">
        <is>
          <t>None — fixable now</t>
        </is>
      </c>
      <c r="L33" s="26" t="inlineStr">
        <is>
          <t>EG / implementation</t>
        </is>
      </c>
      <c r="M33" s="26" t="inlineStr">
        <is>
          <t>In progress</t>
        </is>
      </c>
      <c r="N33" s="26" t="inlineStr">
        <is>
          <t>2026-10-15 implementation response: First event detail names catalogue entry and DPM number; additional details each have their own eventDetailInformation.</t>
        </is>
      </c>
    </row>
    <row r="34" ht="140.25" customHeight="1" s="17">
      <c r="A34" s="25" t="inlineStr">
        <is>
          <t>F033</t>
        </is>
      </c>
      <c r="B34" s="25" t="inlineStr">
        <is>
          <t>Event</t>
        </is>
      </c>
      <c r="C34" s="25" t="inlineStr">
        <is>
          <t>DPM7, DPM94</t>
        </is>
      </c>
      <c r="D34" s="25" t="inlineStr">
        <is>
          <t>DPM7 Successful outcomes only [MUST, 1..1 per event]
event/eventOutcomeInformation/eventOutcome
Every event in PREMIS has the outcome success. An event that succeeded only after warnings or flags were reviewed and accepted (a veraPDF warning at conformance validation, a flagged difference at fidelity review) is success, with an eventOutcomeDetailNote naming each accepted warning or flag, the reviewer and the adjudicated reason. Failed attempts are recorded in the run report (DPM6).
DPM94 Outcome of the event [MUST, 1..1]
event/eventOutcomeInformation/eventOutcome
success (DPM7).</t>
        </is>
      </c>
      <c r="E34" s="25" t="inlineStr">
        <is>
          <t>event/eventOutcomeInformation/eventOutcome</t>
        </is>
      </c>
      <c r="F34" s="25" t="inlineStr">
        <is>
          <t>6 events</t>
        </is>
      </c>
      <c r="G34" s="25" t="inlineStr">
        <is>
          <t>Pipeline statuses (STEP_1_PREPARED_FIXITY_VERIFIED, CONVERTED, STEP_3_VERAPDF_PASSED, AUTO_QA_CLEAR, …).</t>
        </is>
      </c>
      <c r="H34" s="25" t="inlineStr">
        <is>
          <t>success; accepted warnings or flags in eventOutcomeDetailNote; failed attempts in the run report.</t>
        </is>
      </c>
      <c r="I34" s="25" t="inlineStr">
        <is>
          <t>Write &lt;eventOutcome&gt;success&lt;/eventOutcome&gt; (valueURI http://id.loc.gov/vocabulary/preservation/eventOutcome/suc). Write events only for successful steps; statuses and failures go in the run report.</t>
        </is>
      </c>
      <c r="J34" s="25" t="inlineStr">
        <is>
          <t>Non-conformance</t>
        </is>
      </c>
      <c r="K34" s="25" t="inlineStr">
        <is>
          <t>None — fixable now</t>
        </is>
      </c>
      <c r="L34" s="26" t="inlineStr">
        <is>
          <t>EG / implementation</t>
        </is>
      </c>
      <c r="M34" s="26" t="inlineStr">
        <is>
          <t>In progress</t>
        </is>
      </c>
      <c r="N34" s="26" t="inlineStr">
        <is>
          <t>2026-10-15 implementation response: Only successful operations are projected; eventOutcome=success. Failed gates stay in run/verification records.</t>
        </is>
      </c>
    </row>
    <row r="35" ht="89.25" customHeight="1" s="17">
      <c r="A35" s="25" t="inlineStr">
        <is>
          <t>F034</t>
        </is>
      </c>
      <c r="B35" s="25" t="inlineStr">
        <is>
          <t>Event</t>
        </is>
      </c>
      <c r="C35" s="25" t="inlineStr">
        <is>
          <t>DPM96</t>
        </is>
      </c>
      <c r="D35" s="25" t="inlineStr">
        <is>
          <t>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is>
      </c>
      <c r="E35" s="25" t="inlineStr">
        <is>
          <t>event/linkingAgentIdentifier</t>
        </is>
      </c>
      <c r="F35" s="25" t="inlineStr">
        <is>
          <t>6 events</t>
        </is>
      </c>
      <c r="G35" s="25" t="inlineStr">
        <is>
          <t>Only the executing program is linked.</t>
        </is>
      </c>
      <c r="H35" s="25" t="inlineStr">
        <is>
          <t>Executing program and authorizer (the operator) on every event; implementer where a person did the act.</t>
        </is>
      </c>
      <c r="I35" s="25" t="inlineStr">
        <is>
          <t>Add to every event a second linkingAgentIdentifier: type UUID, value the operator's agent UUID, role authorizer. Until the person-agent question is settled, a role-level operator agent can be used.</t>
        </is>
      </c>
      <c r="J35" s="25" t="inlineStr">
        <is>
          <t>Non-conformance</t>
        </is>
      </c>
      <c r="K35" s="25" t="inlineStr">
        <is>
          <t>Open item: person agents</t>
        </is>
      </c>
      <c r="L35" s="26" t="inlineStr">
        <is>
          <t>EG / implementation</t>
        </is>
      </c>
      <c r="M35" s="26" t="inlineStr">
        <is>
          <t>In progress</t>
        </is>
      </c>
      <c r="N35" s="26" t="inlineStr">
        <is>
          <t>2026-10-15 implementation response: Every event links executing program and authorizer; synthetic operator is clearly marked and rejected by strict mode. Production person registry pending.</t>
        </is>
      </c>
    </row>
    <row r="36" ht="114.75" customHeight="1" s="17">
      <c r="A36" s="25" t="inlineStr">
        <is>
          <t>F035</t>
        </is>
      </c>
      <c r="B36" s="25" t="inlineStr">
        <is>
          <t>Event</t>
        </is>
      </c>
      <c r="C36" s="25" t="inlineStr">
        <is>
          <t>DPM97, DPM98</t>
        </is>
      </c>
      <c r="D36" s="25" t="inlineStr">
        <is>
          <t>DPM97 Agent identifier type [MUST, 1..1]
event/linkingAgentIdentifier/linkingAgentIdentifierType
Set to UUID.
DPM98 Agent identifier value [MUST, 1..1]
event/linkingAgentIdentifier/linkingAgentIdentifierValue
The agent's UUID in the agent registry; the agent is described in the same PREMIS file (DPM78).
Example: 197ae01e-806e-41b9-b752-cb7f82580503 (the engine)</t>
        </is>
      </c>
      <c r="E36" s="25" t="inlineStr">
        <is>
          <t>linkingAgentIdentifierType / Value</t>
        </is>
      </c>
      <c r="F36" s="25" t="inlineStr">
        <is>
          <t>6 events</t>
        </is>
      </c>
      <c r="G36" s="25" t="inlineStr">
        <is>
          <t>Type local; value the agent's name.</t>
        </is>
      </c>
      <c r="H36" s="25" t="inlineStr">
        <is>
          <t>Type UUID; value the agent-registry UUID.</t>
        </is>
      </c>
      <c r="I36" s="25" t="inlineStr">
        <is>
          <t>Set linkingAgentIdentifierType to UUID and the value to the agent-registry UUID, the same as in the agent element.</t>
        </is>
      </c>
      <c r="J36" s="25" t="inlineStr">
        <is>
          <t>Non-conformance</t>
        </is>
      </c>
      <c r="K36" s="25" t="inlineStr">
        <is>
          <t>Agent registry</t>
        </is>
      </c>
      <c r="L36" s="26" t="inlineStr">
        <is>
          <t>EG / implementation</t>
        </is>
      </c>
      <c r="M36" s="26" t="inlineStr">
        <is>
          <t>In progress</t>
        </is>
      </c>
      <c r="N36" s="26" t="inlineStr">
        <is>
          <t>2026-10-15 implementation response: Agent links use registry UUIDs. Provisional registry remains unapproved.</t>
        </is>
      </c>
    </row>
    <row r="37" ht="191.25" customHeight="1" s="17">
      <c r="A37" s="25" t="inlineStr">
        <is>
          <t>F036</t>
        </is>
      </c>
      <c r="B37" s="25" t="inlineStr">
        <is>
          <t>Event</t>
        </is>
      </c>
      <c r="C37" s="25" t="inlineStr">
        <is>
          <t>DPM99–DPM101</t>
        </is>
      </c>
      <c r="D37" s="25" t="inlineStr">
        <is>
          <t>DPM99 Object affected by the event [MUST, 1..n]
event/linkingObjectIdentifier
One per object the event acted on or produced. Where the event transforms or produces, each object it transforms, examines or produces has a linkingObjectRole of source or outcome; otherwise no role is given. The intellectual entity, linked by DPM110 and DPM116 to place the event, has no role.
Example: source (the published PDF of a normalisation)
DPM100 Object identifier type [MUST, 1..1]
event/linkingObjectIdentifier/linkingObjectIdentifierType
Set to UUID.
DPM101 Object identifier value [MUST, 1..1]
event/linkingObjectIdentifier/linkingObjectIdentifierValue
The linked object's UUID; the object is described in the same PREMIS file.
Example: 3aaa37c1-1f81-48f5-8144-cd222bfa84c7 (the English master)</t>
        </is>
      </c>
      <c r="E37" s="25" t="inlineStr">
        <is>
          <t>event/linkingObjectIdentifier</t>
        </is>
      </c>
      <c r="F37" s="25" t="inlineStr">
        <is>
          <t>4 events</t>
        </is>
      </c>
      <c r="G37" s="25" t="inlineStr">
        <is>
          <t>Files linked by local-path; no linkingObjectRole.</t>
        </is>
      </c>
      <c r="H37" s="25" t="inlineStr">
        <is>
          <t>Type UUID; source/outcome roles where the event transforms or produces.</t>
        </is>
      </c>
      <c r="I37" s="25" t="inlineStr">
        <is>
          <t>Link objects by UUID (type UUID), not by path. Add linkingObjectRole source or outcome where the event transforms or produces (normalisation, validation, QA, the DROID report on format identification).</t>
        </is>
      </c>
      <c r="J37" s="25" t="inlineStr">
        <is>
          <t>Non-conformance</t>
        </is>
      </c>
      <c r="K37" s="25" t="inlineStr">
        <is>
          <t>None — fixable now</t>
        </is>
      </c>
      <c r="L37" s="26" t="inlineStr">
        <is>
          <t>EG / implementation</t>
        </is>
      </c>
      <c r="M37" s="26" t="inlineStr">
        <is>
          <t>In progress</t>
        </is>
      </c>
      <c r="N37" s="26" t="inlineStr">
        <is>
          <t>2026-10-15 implementation response: Object links use UUIDs and source/outcome roles.</t>
        </is>
      </c>
    </row>
    <row r="38" ht="165.75" customHeight="1" s="17">
      <c r="A38" s="25" t="inlineStr">
        <is>
          <t>F037</t>
        </is>
      </c>
      <c r="B38" s="25" t="inlineStr">
        <is>
          <t>Event</t>
        </is>
      </c>
      <c r="C38" s="25" t="inlineStr">
        <is>
          <t>Element order</t>
        </is>
      </c>
      <c r="D38"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38" s="25" t="inlineStr">
        <is>
          <t>Sequence of events</t>
        </is>
      </c>
      <c r="F38" s="25" t="inlineStr">
        <is>
          <t>1</t>
        </is>
      </c>
      <c r="G38" s="25" t="inlineStr">
        <is>
          <t>Not chronological: format identification (13:10:38) is listed after QA (13:10:50).</t>
        </is>
      </c>
      <c r="H38" s="25" t="inlineStr">
        <is>
          <t>Events in chronological order.</t>
        </is>
      </c>
      <c r="I38" s="25" t="inlineStr">
        <is>
          <t>Sort events by eventDateTime before writing. Fix F031 and F047 first, or the sort uses inconsistent times.</t>
        </is>
      </c>
      <c r="J38" s="25" t="inlineStr">
        <is>
          <t>Non-conformance</t>
        </is>
      </c>
      <c r="K38" s="25" t="inlineStr">
        <is>
          <t>None — fixable now</t>
        </is>
      </c>
      <c r="L38" s="26" t="inlineStr">
        <is>
          <t>EG / implementation</t>
        </is>
      </c>
      <c r="M38" s="26" t="inlineStr">
        <is>
          <t>In progress</t>
        </is>
      </c>
      <c r="N38" s="26" t="inlineStr">
        <is>
          <t>2026-10-15 implementation response: Events sorted chronologically; predecessor entities preserved.</t>
        </is>
      </c>
    </row>
    <row r="39" ht="63.75" customHeight="1" s="17">
      <c r="A39" s="25" t="inlineStr">
        <is>
          <t>F038</t>
        </is>
      </c>
      <c r="B39" s="25" t="inlineStr">
        <is>
          <t>Event</t>
        </is>
      </c>
      <c r="C39" s="25" t="inlineStr">
        <is>
          <t>DPM102</t>
        </is>
      </c>
      <c r="D39"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is>
      </c>
      <c r="E39" s="25" t="inlineStr">
        <is>
          <t>Two ingestion events (4c95ff44-…, bf743e75-…)</t>
        </is>
      </c>
      <c r="F39" s="25" t="inlineStr">
        <is>
          <t>2</t>
        </is>
      </c>
      <c r="G39" s="25" t="inlineStr">
        <is>
          <t>Two ingestion events with identical time, detail and outcome, both linking ec1921e0-…, the intellectual entity mistyped as a representation (F006): the target is right, the type and the duplication are wrong.</t>
        </is>
      </c>
      <c r="H39" s="25" t="inlineStr">
        <is>
          <t>One ingestion start event, linking the IE, in v1 only.</t>
        </is>
      </c>
      <c r="I39" s="25" t="inlineStr">
        <is>
          <t>None (merged into F039).</t>
        </is>
      </c>
      <c r="J39" s="25" t="inlineStr">
        <is>
          <t>Non-conformance</t>
        </is>
      </c>
      <c r="K39" s="25" t="inlineStr">
        <is>
          <t>—</t>
        </is>
      </c>
      <c r="L39" s="26" t="n"/>
      <c r="M39" s="26" t="inlineStr">
        <is>
          <t>Closed</t>
        </is>
      </c>
      <c r="N39" s="26" t="inlineStr">
        <is>
          <t>Merged into F039 (2026-10-12): both findings described the same two ingestion events. No separate action.
2026-10-15 implementation response: Original review closure/profile issue retained; no implementation closure asserted.</t>
        </is>
      </c>
    </row>
    <row r="40" ht="63.75" customHeight="1" s="17">
      <c r="A40" s="25" t="inlineStr">
        <is>
          <t>F039</t>
        </is>
      </c>
      <c r="B40" s="25" t="inlineStr">
        <is>
          <t>Event</t>
        </is>
      </c>
      <c r="C40" s="25" t="inlineStr">
        <is>
          <t>DPM102, DPM103, DPM104</t>
        </is>
      </c>
      <c r="D40"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is>
      </c>
      <c r="E40" s="25" t="inlineStr">
        <is>
          <t>Two ingestion events (4c95ff44-…, bf743e75-…)</t>
        </is>
      </c>
      <c r="F40" s="25" t="inlineStr">
        <is>
          <t>2</t>
        </is>
      </c>
      <c r="G40" s="25" t="inlineStr">
        <is>
          <t>Two events of type ingestion, identical but for their UUID: same time (13:10:11.379381Z), executing program Python DPR PoC1, detail and outcome 'STEP_1_PREPARED_FIXITY_VERIFIED', both linking ec1921e0-…, the intellectual entity mistyped as a representation (F006). They are one per extracted file (DOCX, published PDF), recording PoC 1's result, but neither links its file. No ingestion start is written.</t>
        </is>
      </c>
      <c r="H40" s="25" t="inlineStr">
        <is>
          <t>One ingestion start in v1 only, linking the intellectual entity (DPM102); per extracted file, a digest calculation and a copy fixity verification linking that file (DPM103, DPM104).</t>
        </is>
      </c>
      <c r="I40" s="25" t="inlineStr">
        <is>
          <t>Replace the two ingestion events: write one ingestion start event when the object is created (v1), linking [OBJECT-UUID], first detail ingestion start (DPM102); and for each extracted file (DOCX, published PDF) a message digest calculation and a fixity check event linking that file's UUID (DPM103, DPM104; F040).</t>
        </is>
      </c>
      <c r="J40" s="25" t="inlineStr">
        <is>
          <t>Non-conformance</t>
        </is>
      </c>
      <c r="K40" s="25" t="inlineStr">
        <is>
          <t>None — fixable now</t>
        </is>
      </c>
      <c r="L40" s="26" t="inlineStr">
        <is>
          <t>EG / implementation</t>
        </is>
      </c>
      <c r="M40" s="26" t="inlineStr">
        <is>
          <t>In progress</t>
        </is>
      </c>
      <c r="N40" s="26" t="inlineStr">
        <is>
          <t>F038 merged into this finding (2026-10-12): both described the same two ingestion events.
2026-10-15 implementation response: One ingestion start for first object version; distinct digest and fixity events per received source.</t>
        </is>
      </c>
    </row>
    <row r="41" ht="153" customHeight="1" s="17">
      <c r="A41" s="25" t="inlineStr">
        <is>
          <t>F040</t>
        </is>
      </c>
      <c r="B41" s="25" t="inlineStr">
        <is>
          <t>Event</t>
        </is>
      </c>
      <c r="C41" s="25" t="inlineStr">
        <is>
          <t>DPM103, DPM104</t>
        </is>
      </c>
      <c r="D41" s="25" t="inlineStr">
        <is>
          <t>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is>
      </c>
      <c r="E41" s="25" t="inlineStr">
        <is>
          <t>Digest calculation; copy fixity verification</t>
        </is>
      </c>
      <c r="F41" s="25" t="inlineStr">
        <is>
          <t>0</t>
        </is>
      </c>
      <c r="G41" s="25" t="inlineStr">
        <is>
          <t>Absent (possibly folded into the ingestion events).</t>
        </is>
      </c>
      <c r="H41" s="25" t="inlineStr">
        <is>
          <t>DPM103 and DPM104 per extracted file (DOCX, published PDF); DPM103 on the master as created.</t>
        </is>
      </c>
      <c r="I41" s="25" t="inlineStr">
        <is>
          <t>For the DOCX and the published PDF: one message digest calculation event and one fixity check event each, linking the file's UUID. For the master: one message digest calculation event when created.</t>
        </is>
      </c>
      <c r="J41" s="25" t="inlineStr">
        <is>
          <t>Non-conformance</t>
        </is>
      </c>
      <c r="K41" s="25" t="inlineStr">
        <is>
          <t>None — fixable now</t>
        </is>
      </c>
      <c r="L41" s="26" t="inlineStr">
        <is>
          <t>EG / implementation</t>
        </is>
      </c>
      <c r="M41" s="26" t="inlineStr">
        <is>
          <t>In progress</t>
        </is>
      </c>
      <c r="N41" s="26" t="inlineStr">
        <is>
          <t>2026-10-15 implementation response: Digest/fixity events on received files; digest event on masters; stable event keys prevent duplicate history.</t>
        </is>
      </c>
    </row>
    <row r="42" ht="51" customHeight="1" s="17">
      <c r="A42" s="25" t="inlineStr">
        <is>
          <t>F041</t>
        </is>
      </c>
      <c r="B42" s="25" t="inlineStr">
        <is>
          <t>Event</t>
        </is>
      </c>
      <c r="C42" s="25" t="inlineStr">
        <is>
          <t>DPM105</t>
        </is>
      </c>
      <c r="D42" s="25" t="inlineStr">
        <is>
          <t>DPM105 Filename change [MUST, 1 per renamed held file]
event[eventType='filename change']
A held file renamed from its DOL name to its canonical name (Placement and file model, Canonical names). Linked object: the file. Side: preparation.</t>
        </is>
      </c>
      <c r="E42" s="25" t="inlineStr">
        <is>
          <t>Filename change</t>
        </is>
      </c>
      <c r="F42" s="25" t="inlineStr">
        <is>
          <t>0</t>
        </is>
      </c>
      <c r="G42" s="25" t="inlineStr">
        <is>
          <t>Absent.</t>
        </is>
      </c>
      <c r="H42" s="25" t="inlineStr">
        <is>
          <t>One per held file renamed from its DOL name (the DOCX).</t>
        </is>
      </c>
      <c r="I42" s="25" t="inlineStr">
        <is>
          <t>Add one filename change event linking the DOCX UUID, renamed from its DOL name.</t>
        </is>
      </c>
      <c r="J42" s="25" t="inlineStr">
        <is>
          <t>Non-conformance</t>
        </is>
      </c>
      <c r="K42" s="25" t="inlineStr">
        <is>
          <t>None — fixable now</t>
        </is>
      </c>
      <c r="L42" s="26" t="inlineStr">
        <is>
          <t>EG / implementation</t>
        </is>
      </c>
      <c r="M42" s="26" t="inlineStr">
        <is>
          <t>In progress</t>
        </is>
      </c>
      <c r="N42" s="26" t="inlineStr">
        <is>
          <t>2026-10-15 implementation response: Filename change event for renamed source files.</t>
        </is>
      </c>
    </row>
    <row r="43" ht="114.75" customHeight="1" s="17">
      <c r="A43" s="25" t="inlineStr">
        <is>
          <t>F042</t>
        </is>
      </c>
      <c r="B43" s="25" t="inlineStr">
        <is>
          <t>Event</t>
        </is>
      </c>
      <c r="C43" s="25" t="inlineStr">
        <is>
          <t>DPM106</t>
        </is>
      </c>
      <c r="D43" s="25" t="inlineStr">
        <is>
          <t>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is>
      </c>
      <c r="E43" s="25" t="inlineStr">
        <is>
          <t>Normalization (d4a0ea3f-…)</t>
        </is>
      </c>
      <c r="F43" s="25" t="inlineStr">
        <is>
          <t>1</t>
        </is>
      </c>
      <c r="G43" s="25" t="inlineStr">
        <is>
          <t>Links the master only, without role; no target_level detail; no outcome note.</t>
        </is>
      </c>
      <c r="H43" s="25" t="inlineStr">
        <is>
          <t>Published PDF as source; master and the held conversion log as outcome; detail target_level: PDF/A-2b; outcome note the engine's reported alterations, or none.</t>
        </is>
      </c>
      <c r="I43" s="25" t="inlineStr">
        <is>
          <t>Normalisation event: linkingObjectIdentifier published PDF UUID with role source, master UUID with role outcome, conversion log UUID with role outcome (DPM106, F056); eventDetailInformation target_level: PDF/A-2b; eventOutcomeDetailNote with the engine's reported alterations, or none.</t>
        </is>
      </c>
      <c r="J43" s="25" t="inlineStr">
        <is>
          <t>Non-conformance</t>
        </is>
      </c>
      <c r="K43" s="25" t="inlineStr">
        <is>
          <t>None — fixable now</t>
        </is>
      </c>
      <c r="L43" s="26" t="inlineStr">
        <is>
          <t>EG / implementation</t>
        </is>
      </c>
      <c r="M43" s="26" t="inlineStr">
        <is>
          <t>In progress</t>
        </is>
      </c>
      <c r="N43" s="26" t="inlineStr">
        <is>
          <t>2026-10-15 implementation response: Normalization links source, master and retained conversion log; target detail retained. Alteration-detail extraction from actual Aspose log is not implemented; skipped conversion is not falsely called normalization.</t>
        </is>
      </c>
    </row>
    <row r="44" ht="216.75" customHeight="1" s="17">
      <c r="A44" s="25" t="inlineStr">
        <is>
          <t>F043</t>
        </is>
      </c>
      <c r="B44" s="25" t="inlineStr">
        <is>
          <t>Event</t>
        </is>
      </c>
      <c r="C44" s="25" t="inlineStr">
        <is>
          <t>DPM58, DPM106</t>
        </is>
      </c>
      <c r="D44" s="25" t="inlineStr">
        <is>
          <t>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is>
      </c>
      <c r="E44" s="25" t="inlineStr">
        <is>
          <t>Normalization executing program</t>
        </is>
      </c>
      <c r="F44" s="25" t="inlineStr">
        <is>
          <t>1</t>
        </is>
      </c>
      <c r="G44" s="25" t="inlineStr">
        <is>
          <t>Aspose.PDF for .NET.</t>
        </is>
      </c>
      <c r="H44" s="25" t="inlineStr">
        <is>
          <t>Profile specifies Aspose.PDF for C++, and the edition is part of the agent's identity. Confirm which edition the PoC uses; correct the label or the profile.</t>
        </is>
      </c>
      <c r="I44" s="25" t="inlineStr">
        <is>
          <t>Developer: confirm which Aspose edition the conversion program uses. If C++, correct the label. If .NET, tell the profile owner so DPM57 and DPM58 change.</t>
        </is>
      </c>
      <c r="J44" s="25" t="inlineStr">
        <is>
          <t>Suspected defect</t>
        </is>
      </c>
      <c r="K44" s="25" t="inlineStr">
        <is>
          <t>Engine identity (edition and version)</t>
        </is>
      </c>
      <c r="L44" s="26" t="inlineStr">
        <is>
          <t>EG / implementation</t>
        </is>
      </c>
      <c r="M44" s="26" t="inlineStr">
        <is>
          <t>In progress</t>
        </is>
      </c>
      <c r="N44" s="26" t="inlineStr">
        <is>
          <t>2026-10-15 implementation response: Confirmed from .csproj and Program.cs: Aspose.PDF for .NET, package 25.10.0. Propose correcting profile C++ references.</t>
        </is>
      </c>
    </row>
    <row r="45" ht="102" customHeight="1" s="17">
      <c r="A45" s="25" t="inlineStr">
        <is>
          <t>F044</t>
        </is>
      </c>
      <c r="B45" s="25" t="inlineStr">
        <is>
          <t>Event</t>
        </is>
      </c>
      <c r="C45" s="25" t="inlineStr">
        <is>
          <t>DPM107</t>
        </is>
      </c>
      <c r="D45" s="25" t="inlineStr">
        <is>
          <t>DPM107 Conformance validation [MUST, 1 per master]
event[eventType='validation']
The passing veraPDF validation of a master. Linked objects: the master (source), the veraPDF report (outcome). Executing program: veraPDF. Event detail: validation_profile: PDF/A-2B, the veraPDF profile applied; its version is that of the veraPDF agent (DPM84). Outcome detail note: the accepted warnings, reviewer and reason, where warnings were accepted. Side: preparation.
Example: validation_profile: PDF/A-2B</t>
        </is>
      </c>
      <c r="E45" s="25" t="inlineStr">
        <is>
          <t>Validation (f0af495b-…)</t>
        </is>
      </c>
      <c r="F45" s="25" t="inlineStr">
        <is>
          <t>1</t>
        </is>
      </c>
      <c r="G45" s="25" t="inlineStr">
        <is>
          <t>Links the master only, without role; no report; no validation_profile.</t>
        </is>
      </c>
      <c r="H45" s="25" t="inlineStr">
        <is>
          <t>Master as source, veraPDF report as outcome; detail validation_profile: PDF/A-2B.</t>
        </is>
      </c>
      <c r="I45" s="25" t="inlineStr">
        <is>
          <t>Validation event: master UUID with role source, veraPDF report UUID with role outcome; eventDetail validation_profile: PDF/A-2B.</t>
        </is>
      </c>
      <c r="J45" s="25" t="inlineStr">
        <is>
          <t>Non-conformance</t>
        </is>
      </c>
      <c r="K45" s="25" t="inlineStr">
        <is>
          <t>None — fixable now</t>
        </is>
      </c>
      <c r="L45" s="26" t="inlineStr">
        <is>
          <t>EG / implementation</t>
        </is>
      </c>
      <c r="M45" s="26" t="inlineStr">
        <is>
          <t>In progress</t>
        </is>
      </c>
      <c r="N45" s="26" t="inlineStr">
        <is>
          <t>2026-10-15 implementation response: Validation source/outcome UUIDs and validation_profile: PDF/A-2B.</t>
        </is>
      </c>
    </row>
    <row r="46" ht="114.75" customHeight="1" s="17">
      <c r="A46" s="25" t="inlineStr">
        <is>
          <t>F045</t>
        </is>
      </c>
      <c r="B46" s="25" t="inlineStr">
        <is>
          <t>Event</t>
        </is>
      </c>
      <c r="C46" s="25" t="inlineStr">
        <is>
          <t>DPM108</t>
        </is>
      </c>
      <c r="D46" s="25" t="inlineStr">
        <is>
          <t>DPM108 Fidelity review [MUST, 1 per converted master]
event[eventType='qualityReview']
The accepting QA decision on a master's fidelity to its source. Local event type (no LoC equivalent; see *Open items* for its namespace). Linked objects: the master (source), the QA report (outcome). Executing program: the QA stage script ([SCRIPT-STEP-5]), whose tagged release pins the comparison libraries it uses (pypdf, pdfminer.six); where sampled for manual review, also the reviewer as implementer. Event detail: sampled: true or false. Outcome detail note: the adjudicated reason for any flagged difference. Side: preparation.
Example: sampled: false</t>
        </is>
      </c>
      <c r="E46" s="25" t="inlineStr">
        <is>
          <t>Quality assurance (2f108447-…)</t>
        </is>
      </c>
      <c r="F46" s="25" t="inlineStr">
        <is>
          <t>1</t>
        </is>
      </c>
      <c r="G46" s="25" t="inlineStr">
        <is>
          <t>Type quality assurance; links the master only; no sampled detail; no report.</t>
        </is>
      </c>
      <c r="H46" s="25" t="inlineStr">
        <is>
          <t>Type qualityReview (local); master as source, QA report as outcome; detail sampled: true or false.</t>
        </is>
      </c>
      <c r="I46" s="25" t="inlineStr">
        <is>
          <t>Event type qualityReview with authority="local"; master UUID with role source, QA report UUID with role outcome; eventDetail sampled: false (or true).</t>
        </is>
      </c>
      <c r="J46" s="25" t="inlineStr">
        <is>
          <t>Non-conformance</t>
        </is>
      </c>
      <c r="K46" s="25" t="inlineStr">
        <is>
          <t>None — fixable now</t>
        </is>
      </c>
      <c r="L46" s="26" t="inlineStr">
        <is>
          <t>EG / implementation</t>
        </is>
      </c>
      <c r="M46" s="26" t="inlineStr">
        <is>
          <t>In progress</t>
        </is>
      </c>
      <c r="N46" s="26" t="inlineStr">
        <is>
          <t>2026-10-15 implementation response: Local qualityReview, master source, QA report outcome, sampled:false. Manual adjudication workflow remains outside this implementation.</t>
        </is>
      </c>
    </row>
    <row r="47" ht="165.75" customHeight="1" s="17">
      <c r="A47" s="25" t="inlineStr">
        <is>
          <t>F046</t>
        </is>
      </c>
      <c r="B47" s="25" t="inlineStr">
        <is>
          <t>Event</t>
        </is>
      </c>
      <c r="C47" s="25" t="inlineStr">
        <is>
          <t>DPM109</t>
        </is>
      </c>
      <c r="D47"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47" s="25" t="inlineStr">
        <is>
          <t>Format identification (d5f4e12d-…)</t>
        </is>
      </c>
      <c r="F47" s="25" t="inlineStr">
        <is>
          <t>1</t>
        </is>
      </c>
      <c r="G47" s="25" t="inlineStr">
        <is>
          <t>Links 2 of 8 files; no DROID report as outcome; no batch_id.</t>
        </is>
      </c>
      <c r="H47" s="25" t="inlineStr">
        <is>
          <t>Every file object identified in the version other than DOME and the DROID report itself (and including the published PDF), DROID report as outcome; detail batch_id: &lt;UUID&gt;.</t>
        </is>
      </c>
      <c r="I47" s="25" t="inlineStr">
        <is>
          <t>Run DROID over every file in the version except DOME (DPM49) plus the published PDF. Link each file object (UUID, no role) and the DROID report (role outcome); eventDetail batch_id: [BATCH-UUID].</t>
        </is>
      </c>
      <c r="J47" s="25" t="inlineStr">
        <is>
          <t>Non-conformance</t>
        </is>
      </c>
      <c r="K47" s="25" t="inlineStr">
        <is>
          <t>None — fixable now</t>
        </is>
      </c>
      <c r="L47" s="26" t="inlineStr">
        <is>
          <t>EG / implementation</t>
        </is>
      </c>
      <c r="M47" s="26" t="inlineStr">
        <is>
          <t>In progress</t>
        </is>
      </c>
      <c r="N47" s="26" t="inlineStr">
        <is>
          <t>2026-10-15 implementation response: Optional post-conversion DROID includes new derived evidence and sources; full identification requires installed tool/signature configuration. Strict mode blocks missing PUIDs.</t>
        </is>
      </c>
    </row>
    <row r="48" ht="165.75" customHeight="1" s="17">
      <c r="A48" s="25" t="inlineStr">
        <is>
          <t>F047</t>
        </is>
      </c>
      <c r="B48" s="25" t="inlineStr">
        <is>
          <t>Event</t>
        </is>
      </c>
      <c r="C48" s="25" t="inlineStr">
        <is>
          <t>DPM109</t>
        </is>
      </c>
      <c r="D48"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48" s="25" t="inlineStr">
        <is>
          <t>Format identification timing</t>
        </is>
      </c>
      <c r="F48" s="25" t="inlineStr">
        <is>
          <t>1</t>
        </is>
      </c>
      <c r="G48" s="25" t="inlineStr">
        <is>
          <t>Timestamped 13:10:38, before the normalisation (13:10:47), and links the master path. By design DROID runs before conversion and identifies the _src PDF, not the master (Workflow Documentation v2.5 §4.6; the DROID CSV lists the DOCX, fmt/412, and the _src PDF, fmt/276). The event therefore links an object DROID never read, and the master is never identified.</t>
        </is>
      </c>
      <c r="H48" s="25" t="inlineStr">
        <is>
          <t>The event links the files DROID identified: the authoring source and the published PDF (DPM40), not the master; the master is identified after normalisation (fmt/477, DPM49).</t>
        </is>
      </c>
      <c r="I48" s="25" t="inlineStr">
        <is>
          <t>Developer: link the DROID event to the objects DROID read (the DOCX and the published PDF object, F013); identify the master after conversion and record its PUID (F016). Workflow tab: W05.</t>
        </is>
      </c>
      <c r="J48" s="25" t="inlineStr">
        <is>
          <t>Non-conformance</t>
        </is>
      </c>
      <c r="K48" s="25" t="inlineStr">
        <is>
          <t>None — fixable now</t>
        </is>
      </c>
      <c r="L48" s="26" t="inlineStr">
        <is>
          <t>EG / implementation</t>
        </is>
      </c>
      <c r="M48" s="26" t="inlineStr">
        <is>
          <t>In progress</t>
        </is>
      </c>
      <c r="N48" s="26" t="inlineStr">
        <is>
          <t>2026-10-15 implementation response: Source-only DROID links received source IDs; optional post-conversion identification adds master/evidence IDs. Review still needed for skipped-conversion characterization semantics.</t>
        </is>
      </c>
    </row>
    <row r="49" ht="51" customHeight="1" s="17">
      <c r="A49" s="25" t="inlineStr">
        <is>
          <t>F048</t>
        </is>
      </c>
      <c r="B49" s="25" t="inlineStr">
        <is>
          <t>Event</t>
        </is>
      </c>
      <c r="C49" s="25" t="inlineStr">
        <is>
          <t>DPM116</t>
        </is>
      </c>
      <c r="D49" s="25" t="inlineStr">
        <is>
          <t>DPM116 Descriptive metadata creation [MUST, 1..1 per AIP]
event[eventType='creation']
The object's first DOME record, written in v1. Linked objects: the intellectual entity (no role); the DOME file (outcome). Executing program: the DOME script. Event detail: cat_header_id: &lt;value&gt;, the DOL catalogue record ID (CatHeaderId) from which the DOME record was built, through which DOL links the metadata fields used; DOME does not contain it, so this is its only record in the package. Side: preparation.
Example: cat_header_id: [DOL-RECORD-ID]</t>
        </is>
      </c>
      <c r="E49" s="25" t="inlineStr">
        <is>
          <t>DOME event</t>
        </is>
      </c>
      <c r="F49" s="25" t="inlineStr">
        <is>
          <t>0</t>
        </is>
      </c>
      <c r="G49" s="25" t="inlineStr">
        <is>
          <t>Absent.</t>
        </is>
      </c>
      <c r="H49" s="25" t="inlineStr">
        <is>
          <t>For the first DOME record (v1): a descriptive metadata creation event (DPM116), linking the intellectual entity (no role) and the DOME file (outcome), with event detail cat_header_id.</t>
        </is>
      </c>
      <c r="I49" s="25" t="inlineStr">
        <is>
          <t>Add a creation event (eventType creation, @valueURI http://id.loc.gov/vocabulary/preservation/eventType/cre; first detail descriptive metadata creation (DPM116); second detail cat_header_id: &lt;DOL CatHeaderId&gt;) linking [OBJECT-UUID] without role and the DOME file UUID with role outcome; executing program the DOME script, authorizer the operator.</t>
        </is>
      </c>
      <c r="J49" s="25" t="inlineStr">
        <is>
          <t>Non-conformance</t>
        </is>
      </c>
      <c r="K49" s="25" t="inlineStr">
        <is>
          <t>None — fixable now</t>
        </is>
      </c>
      <c r="L49" s="26" t="inlineStr">
        <is>
          <t>EG / implementation</t>
        </is>
      </c>
      <c r="M49" s="26" t="inlineStr">
        <is>
          <t>In progress</t>
        </is>
      </c>
      <c r="N49" s="26" t="inlineStr">
        <is>
          <t>2026-10-15 implementation response: DOME creation links IE and DOME output with CatHeaderId now selected from SQL. Missing CatHeaderId is a draft gap.</t>
        </is>
      </c>
    </row>
    <row r="50" ht="165.75" customHeight="1" s="17">
      <c r="A50" s="25" t="inlineStr">
        <is>
          <t>F049</t>
        </is>
      </c>
      <c r="B50" s="25" t="inlineStr">
        <is>
          <t>Event</t>
        </is>
      </c>
      <c r="C50" s="25" t="inlineStr">
        <is>
          <t>DPM111</t>
        </is>
      </c>
      <c r="D50" s="25" t="inlineStr">
        <is>
          <t>DPM111 SIP creation [MUST, 1..1 per version created from a SIP]
event[eventType='information package creation']
The SIP built at step 7; the last event written on the preparation side. Linked object: the intellectual entity. Event details, each in its own eventDetailInformation: sip_id: &lt;UUID&gt;, the SIP's own UUID (DPM8, DPM23); selection_basis: &lt;value&gt;, from vocODRNSSelectionBasis (see *Controlled vocabularies*); batch_id: &lt;UUID&gt;; languages: &lt;language codes&gt;, the language versions held in the version once committed, comma-separated (e.g. en, es); for a re-issue or a master reconversion, changed_languages: &lt;language codes&gt;. Outcome detail note: package type: SIP. Side: preparation.
Example: sip_id: 8db4332b-de6e-4322-bbb6-3e9e5629bc19; selection_basis: new_document; batch_id: 3113aa86-311d-441f-a39b-08ba19065b9e; languages: en</t>
        </is>
      </c>
      <c r="E50" s="25" t="inlineStr">
        <is>
          <t>SIP creation</t>
        </is>
      </c>
      <c r="F50" s="25" t="inlineStr">
        <is>
          <t>0</t>
        </is>
      </c>
      <c r="G50" s="25" t="inlineStr">
        <is>
          <t>Absent.</t>
        </is>
      </c>
      <c r="H50" s="25" t="inlineStr">
        <is>
          <t>Last preparation-side event, linking the IE; details sip_id, selection_basis (new_document), batch_id, languages: es; note package type: SIP.</t>
        </is>
      </c>
      <c r="I50" s="25" t="inlineStr">
        <is>
          <t>Add the SIP creation event as the last preparation-side event: eventType information package creation; linked object [OBJECT-UUID]; details sip_id: [SIP-UUID], selection_basis: new_document, batch_id: [BATCH-UUID], languages: es; outcome success with note package type: SIP. Workflow tab: W10.</t>
        </is>
      </c>
      <c r="J50" s="25" t="inlineStr">
        <is>
          <t>Non-conformance</t>
        </is>
      </c>
      <c r="K50" s="25" t="inlineStr">
        <is>
          <t>None — fixable now</t>
        </is>
      </c>
      <c r="L50" s="26" t="inlineStr">
        <is>
          <t>EG / implementation</t>
        </is>
      </c>
      <c r="M50" s="26" t="inlineStr">
        <is>
          <t>In progress</t>
        </is>
      </c>
      <c r="N50" s="26" t="inlineStr">
        <is>
          <t>2026-10-15 implementation response: SIP creation last on preparation side, sip_id/batch_id/languages/selection_basis details. Selection is proposed from byte/language differences or explicit CLI override; LastDmsAction semantics pending.</t>
        </is>
      </c>
    </row>
    <row r="51" ht="216.75" customHeight="1" s="17">
      <c r="A51" s="25" t="inlineStr">
        <is>
          <t>F050</t>
        </is>
      </c>
      <c r="B51" s="25" t="inlineStr">
        <is>
          <t>Event</t>
        </is>
      </c>
      <c r="C51" s="25" t="inlineStr">
        <is>
          <t>DPM112, DPM113, DPM117</t>
        </is>
      </c>
      <c r="D51" s="25" t="inlineStr">
        <is>
          <t>DPM112 Ingest fixity verification [MUST, 1..1 per version created from a SIP]
event[eventType='fixity check']
The bag verified against its SHA-512 manifest on receipt at step 8 (verified outcome only). Linked object: the intellectual entity. Event details, each in its own eventDetailInformation: sip_id: &lt;UUID&gt;, the SIP whose bag was verified (as in DPM111); package_manifest: manifest-sha512.txt. Outcome detail note: the bag's Payload-Oxum. Side: ingest.
Example: sip_id: 8db4332b-de6e-4322-bbb6-3e9e5629bc19; outcome detail note Payload-Oxum: 1468230.7
DPM113 AIP creation [MUST, 1..1 per version]
event[eventType='information package creation']
The AIP version written to OCFL at step 9. Linked object: the intellectual entity, whose UUID also names the AIP (DPM23). Event detail: ocfl_version: vN. Outcome detail note: package type: AIP. Its authorizer and time agree with the version's commit record (DPM14). Side: ingest.
Example: ocfl_version: v1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is>
      </c>
      <c r="E51" s="25" t="inlineStr">
        <is>
          <t>Ingest fixity verification; AIP creation</t>
        </is>
      </c>
      <c r="F51" s="25" t="inlineStr">
        <is>
          <t>0</t>
        </is>
      </c>
      <c r="G51" s="25" t="inlineStr">
        <is>
          <t>Absent. The file is the AIP's PREMIS: it is metadata/2026_011922_premis.xml in the v1 state of the OCFL inventory (SHA-512 0563f1ff…, identical to the file reviewed). v1 was committed 2026-10-09T13:10:59Z without the ingest side's events.</t>
        </is>
      </c>
      <c r="H51" s="25" t="inlineStr">
        <is>
          <t>Appended by the ingest side before commit: ingest fixity verification (DPM112) and AIP creation (DPM113, ocfl_version: v1), and a description of the ingest software agent (DPM117).</t>
        </is>
      </c>
      <c r="I51" s="25" t="inlineStr">
        <is>
          <t>Ingest side: after bag verification, parse the SIP's PREMIS and append DPM112 and DPM113 with the ingest software agent; validate (DPM10) and run the DPM14 checks before commit. Since v1 was committed without them, those checks are not implemented: a failure must hold the bag and commit nothing (DPM3).</t>
        </is>
      </c>
      <c r="J51" s="25" t="inlineStr">
        <is>
          <t>Non-conformance</t>
        </is>
      </c>
      <c r="K51" s="25" t="inlineStr">
        <is>
          <t>None — fixable now</t>
        </is>
      </c>
      <c r="L51" s="26" t="inlineStr">
        <is>
          <t>EG / implementation</t>
        </is>
      </c>
      <c r="M51" s="26" t="inlineStr">
        <is>
          <t>In progress</t>
        </is>
      </c>
      <c r="N51" s="26" t="inlineStr">
        <is>
          <t>2026-10-15 implementation response: Ingest copies SIP into workspace, appends DPM112 and DPM113 plus agent descriptions, validates schemas and agreement before OCFL commit. Received bag remains byte-identical.</t>
        </is>
      </c>
    </row>
    <row r="52" ht="165.75" customHeight="1" s="17">
      <c r="A52" s="25" t="inlineStr">
        <is>
          <t>F051</t>
        </is>
      </c>
      <c r="B52" s="25" t="inlineStr">
        <is>
          <t>Agent</t>
        </is>
      </c>
      <c r="C52" s="25" t="inlineStr">
        <is>
          <t>DPM79–DPM81</t>
        </is>
      </c>
      <c r="D52" s="25" t="inlineStr">
        <is>
          <t>DPM79 Agent identification [MUST, 1..1]
agent/agentIdentifier
Exactly one, the agent-registry UUID.
DPM80 Type of identification [MUST, 1..1]
agent/agentIdentifier/agentIdentifierType
Set to UUID.
DPM81 Identification value [MUST, 1..1]
agent/agentIdentifier/agentIdentifierValue
The agent's UUID in the agent registry, without prefix. The PREMIS writer never mints agent identifiers.
Example: 4c702ef1-25a4-4917-a4d8-ae794f04592e (the step 1 stage script, [SCRIPT-STEP-1])</t>
        </is>
      </c>
      <c r="E52" s="25" t="inlineStr">
        <is>
          <t>agent/agentIdentifier</t>
        </is>
      </c>
      <c r="F52" s="25" t="inlineStr">
        <is>
          <t>5 agents</t>
        </is>
      </c>
      <c r="G52" s="25" t="inlineStr">
        <is>
          <t>Type local; value the agent's name.</t>
        </is>
      </c>
      <c r="H52" s="25" t="inlineStr">
        <is>
          <t>Exactly one identifier, type UUID, value copied from the agent registry.</t>
        </is>
      </c>
      <c r="I52" s="25" t="inlineStr">
        <is>
          <t>Set agentIdentifierType to UUID and agentIdentifierValue to the agent-registry UUID; copy name, type, version and note from the registry row. Workflow tab: W12.</t>
        </is>
      </c>
      <c r="J52" s="25" t="inlineStr">
        <is>
          <t>Non-conformance</t>
        </is>
      </c>
      <c r="K52" s="25" t="inlineStr">
        <is>
          <t>Agent registry</t>
        </is>
      </c>
      <c r="L52" s="26" t="inlineStr">
        <is>
          <t>EG / implementation</t>
        </is>
      </c>
      <c r="M52" s="26" t="inlineStr">
        <is>
          <t>In progress</t>
        </is>
      </c>
      <c r="N52" s="26" t="inlineStr">
        <is>
          <t>2026-10-15 implementation response: Agent UUID/name/type/version/note copied from explicit configuration. Authorizer commit fields checked. Production registry pending.</t>
        </is>
      </c>
    </row>
    <row r="53" ht="153" customHeight="1" s="17">
      <c r="A53" s="25" t="inlineStr">
        <is>
          <t>F052</t>
        </is>
      </c>
      <c r="B53" s="25" t="inlineStr">
        <is>
          <t>Agent</t>
        </is>
      </c>
      <c r="C53" s="25" t="inlineStr">
        <is>
          <t>DPM84</t>
        </is>
      </c>
      <c r="D53" s="25" t="inlineStr">
        <is>
          <t>DPM84 Agent version [MUST for software, 0..1]
agent/agentVersion
For software, the exact version string as registered. For DROID it includes the signature-file version: a new signature file is a new agent with a new UUID, as is any new software version. Absent for persons and organisations. For software developed for the pipeline, each stage script is a separate agent, cited by step ([SCRIPT-STEP-n]) until production names are fixed (see *Open items*); its version identifies a tagged release of that script in its source repository, so that the code that acted can be retrieved, and the agent registry's note gives the repository. Scripts that only orchestrate, schedule or monitor the stages are not agents.
Example: 6.8.1; signature file V122 (illustrative)</t>
        </is>
      </c>
      <c r="E53" s="25" t="inlineStr">
        <is>
          <t>agent/agentVersion</t>
        </is>
      </c>
      <c r="F53" s="25" t="inlineStr">
        <is>
          <t>5 agents</t>
        </is>
      </c>
      <c r="G53" s="25" t="inlineStr">
        <is>
          <t>Absent on all software agents; stage scripts named Python DPR PoC1 / PoC4.</t>
        </is>
      </c>
      <c r="H53" s="25" t="inlineStr">
        <is>
          <t>Exact registered version; DROID including the signature-file version; each stage script a separate agent at a tagged release, under its production name.</t>
        </is>
      </c>
      <c r="I53" s="25" t="inlineStr">
        <is>
          <t>Add agentVersion from the registry, e.g. DROID 6.8.1; signature file V122, veraPDF 1.28.2, each stage script at its git tag under its production file name. Workflow tab: W12.</t>
        </is>
      </c>
      <c r="J53" s="25" t="inlineStr">
        <is>
          <t>Non-conformance</t>
        </is>
      </c>
      <c r="K53" s="25" t="inlineStr">
        <is>
          <t>Agent registry; open item: stage scripts</t>
        </is>
      </c>
      <c r="L53" s="26" t="inlineStr">
        <is>
          <t>EG / implementation</t>
        </is>
      </c>
      <c r="M53" s="26" t="inlineStr">
        <is>
          <t>In progress</t>
        </is>
      </c>
      <c r="N53" s="26" t="inlineStr">
        <is>
          <t>2026-10-15 implementation response: Working source SHA-256 fingerprints supplied for scripts; actual Aspose version confirmed. Tagged production releases and DROID signature version still pending.</t>
        </is>
      </c>
    </row>
    <row r="54" ht="153" customHeight="1" s="17">
      <c r="A54" s="25" t="inlineStr">
        <is>
          <t>F053</t>
        </is>
      </c>
      <c r="B54" s="25" t="inlineStr">
        <is>
          <t>Agent</t>
        </is>
      </c>
      <c r="C54" s="25" t="inlineStr">
        <is>
          <t>DPM78, DPM96</t>
        </is>
      </c>
      <c r="D54" s="25" t="inlineStr">
        <is>
          <t>DPM78 Agent [MUST, 1..n]
agent
One per agent linked by any event in the file, or named as a fixity originator (DPM47), described once.
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is>
      </c>
      <c r="E54" s="25" t="inlineStr">
        <is>
          <t>Operator agent</t>
        </is>
      </c>
      <c r="F54" s="25" t="inlineStr">
        <is>
          <t>0</t>
        </is>
      </c>
      <c r="G54" s="25" t="inlineStr">
        <is>
          <t>No person agent.</t>
        </is>
      </c>
      <c r="H54" s="25" t="inlineStr">
        <is>
          <t>Operator described as a person agent and linked as authorizer.</t>
        </is>
      </c>
      <c r="I54" s="25" t="inlineStr">
        <is>
          <t>Add a person agent for the operator (agentType person, valueURI http://id.loc.gov/vocabulary/preservation/agentType/per) and link it as authorizer (F034). Workflow tab: W12.</t>
        </is>
      </c>
      <c r="J54" s="25" t="inlineStr">
        <is>
          <t>Non-conformance</t>
        </is>
      </c>
      <c r="K54" s="25" t="inlineStr">
        <is>
          <t>Open item: person agents</t>
        </is>
      </c>
      <c r="L54" s="26" t="inlineStr">
        <is>
          <t>EG / implementation</t>
        </is>
      </c>
      <c r="M54" s="26" t="inlineStr">
        <is>
          <t>In progress</t>
        </is>
      </c>
      <c r="N54" s="26" t="inlineStr">
        <is>
          <t>2026-10-15 implementation response: Synthetic person agent for tests only. Production operator identity must replace it; strict mode blocks draft config.</t>
        </is>
      </c>
    </row>
    <row r="55" ht="165.75" customHeight="1" s="17">
      <c r="A55" s="25" t="inlineStr">
        <is>
          <t>F054</t>
        </is>
      </c>
      <c r="B55" s="25" t="inlineStr">
        <is>
          <t>Agent</t>
        </is>
      </c>
      <c r="C55" s="25" t="inlineStr">
        <is>
          <t>Element order</t>
        </is>
      </c>
      <c r="D55"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55" s="25" t="inlineStr">
        <is>
          <t>Sequence of agents</t>
        </is>
      </c>
      <c r="F55" s="25" t="inlineStr">
        <is>
          <t>5 agents</t>
        </is>
      </c>
      <c r="G55" s="25" t="inlineStr">
        <is>
          <t>Alphabetical.</t>
        </is>
      </c>
      <c r="H55" s="25" t="inlineStr">
        <is>
          <t>In order of first reference.</t>
        </is>
      </c>
      <c r="I55" s="25" t="inlineStr">
        <is>
          <t>Write agents in order of first reference in the events, not alphabetically.</t>
        </is>
      </c>
      <c r="J55" s="25" t="inlineStr">
        <is>
          <t>Non-conformance</t>
        </is>
      </c>
      <c r="K55" s="25" t="inlineStr">
        <is>
          <t>None — fixable now</t>
        </is>
      </c>
      <c r="L55" s="26" t="inlineStr">
        <is>
          <t>EG / implementation</t>
        </is>
      </c>
      <c r="M55" s="26" t="inlineStr">
        <is>
          <t>In progress</t>
        </is>
      </c>
      <c r="N55" s="26" t="inlineStr">
        <is>
          <t>2026-10-15 implementation response: Agents emitted at first event/fixity reference; predecessor order retained. Digest-originator references may precede event reference and need profile-owner confirmation.</t>
        </is>
      </c>
    </row>
    <row r="56" ht="165.75" customHeight="1" s="17">
      <c r="A56" s="25" t="inlineStr">
        <is>
          <t>F055</t>
        </is>
      </c>
      <c r="B56" s="25" t="inlineStr">
        <is>
          <t>Profile</t>
        </is>
      </c>
      <c r="C56" s="25" t="inlineStr">
        <is>
          <t>Element order; Example 1</t>
        </is>
      </c>
      <c r="D56"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56" s="25" t="inlineStr">
        <is>
          <t>Profile text</t>
        </is>
      </c>
      <c r="F56" s="25" t="inlineStr">
        <is>
          <t>—</t>
        </is>
      </c>
      <c r="G56" s="25" t="inlineStr">
        <is>
          <t>The rule orders files by logical path (documentation/ before representations/), but Example 1 shows the master before the veraPDF report.</t>
        </is>
      </c>
      <c r="H56" s="25" t="inlineStr">
        <is>
          <t>Align the rule and the example.</t>
        </is>
      </c>
      <c r="I56" s="25" t="inlineStr">
        <is>
          <t>Profile owner: order Example 1 by logical path, or restate the rule. No change to the Python writer.</t>
        </is>
      </c>
      <c r="J56" s="25" t="inlineStr">
        <is>
          <t>Profile issue</t>
        </is>
      </c>
      <c r="K56" s="25" t="inlineStr">
        <is>
          <t>—</t>
        </is>
      </c>
      <c r="L56" s="26" t="n"/>
      <c r="M56" s="26" t="inlineStr">
        <is>
          <t>Closed</t>
        </is>
      </c>
      <c r="N56" s="26" t="inlineStr">
        <is>
          <t>Resolved in the profile, 2026-10-12: Example 1 reordered to follow the rule (files in logical-path order, the published PDF immediately before its master). No change to the Python writer.
2026-10-15 implementation response: Original review closure/profile issue retained; no implementation closure asserted.</t>
        </is>
      </c>
    </row>
    <row r="57" ht="165.75" customHeight="1" s="17">
      <c r="A57" s="25" t="inlineStr">
        <is>
          <t>F056</t>
        </is>
      </c>
      <c r="B57" s="25" t="inlineStr">
        <is>
          <t>File</t>
        </is>
      </c>
      <c r="C57" s="25" t="inlineStr">
        <is>
          <t>DPM118, DPM106</t>
        </is>
      </c>
      <c r="D57" s="25" t="inlineStr">
        <is>
          <t>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
DPM106 (extract): Linked objects: the published PDF (source), the master (outcome) and, where one is held, the conversion log (outcome).</t>
        </is>
      </c>
      <c r="E57" s="25" t="inlineStr">
        <is>
          <t>Conversion log (documentation/…_conv_aspose.xml)</t>
        </is>
      </c>
      <c r="F57" s="25" t="inlineStr">
        <is>
          <t>1</t>
        </is>
      </c>
      <c r="G57" s="25" t="inlineStr">
        <is>
          <t>Held and described, but carries only structural / is part of → ec1921e0-…; not linked from the normalisation event.</t>
        </is>
      </c>
      <c r="H57" s="25" t="inlineStr">
        <is>
          <t>dependency / isConversionLogOf (local) → the master, with relatedEventIdentifier → the normalisation; linked as a second outcome of the normalisation event.</t>
        </is>
      </c>
      <c r="I57" s="25" t="inlineStr">
        <is>
          <t>On the conversion log: replace the structural relationship (F020) with relationship dependency / isConversionLogOf (authority="local") → [master UUID], with relatedEventIdentifier type UUID, value the normalisation event UUID. On the normalisation event: add linkingObjectIdentifier [conversion log UUID] with role outcome (F042).</t>
        </is>
      </c>
      <c r="J57" s="25" t="inlineStr">
        <is>
          <t>Non-conformance</t>
        </is>
      </c>
      <c r="K57" s="25" t="inlineStr">
        <is>
          <t>None — fixable now</t>
        </is>
      </c>
      <c r="L57" s="26" t="inlineStr">
        <is>
          <t>EG / implementation</t>
        </is>
      </c>
      <c r="M57" s="26" t="inlineStr">
        <is>
          <t>In progress</t>
        </is>
      </c>
      <c r="N57" s="26" t="inlineStr">
        <is>
          <t>2026-10-15 implementation response: Conversion log is a second normalization outcome and dependency/isConversionLogOf with related event UUID.</t>
        </is>
      </c>
    </row>
    <row r="58" ht="165.75" customHeight="1" s="17">
      <c r="A58" s="25" t="inlineStr">
        <is>
          <t>F057</t>
        </is>
      </c>
      <c r="B58" s="25" t="inlineStr">
        <is>
          <t>Profile</t>
        </is>
      </c>
      <c r="C58" s="25" t="inlineStr">
        <is>
          <t>Controlled vocabularies (vocPREMISIdentifierTypes); Example 1</t>
        </is>
      </c>
      <c r="D58" s="25" t="inlineStr">
        <is>
          <t>Controlled vocabularies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
vocPREMISIdentifierTypes
Source: local. Written as plain values, without @authority, @authorityURI or @valueURI (decided 2026-10-12); no term is taken from the LoC Standard Identifiers scheme. Used in: objectIdentifierType, eventIdentifierType, agentIdentifierType, linkingAgentIdentifierType, linkingObjectIdentifierType, relatedObjectIdentifierType, relatedEventIdentifierType. Values: UUID, JOB_ID, filepath.</t>
        </is>
      </c>
      <c r="E58" s="25" t="inlineStr">
        <is>
          <t>Profile text</t>
        </is>
      </c>
      <c r="F58" s="25" t="inlineStr">
        <is>
          <t>—</t>
        </is>
      </c>
      <c r="G58" s="25" t="inlineStr">
        <is>
          <t>The vocabulary is local, and local values carry @authority="local"; but Example 1 writes UUID, JOB_ID and filepath without it. The review itself was inconsistent (F009 added the attribute, F011 and F012 did not).</t>
        </is>
      </c>
      <c r="H58" s="25" t="inlineStr">
        <is>
          <t>Decide whether identifier types carry @authority="local"; align the vocabulary text and Example 1.</t>
        </is>
      </c>
      <c r="I58" s="25" t="inlineStr">
        <is>
          <t>Decided 2026-10-12: identifier types are written as plain values (UUID, JOB_ID, filepath), without @authority, as Example 1 shows. Profile owner: state this in Controlled vocabularies (vocPREMISIdentifierTypes) in v0.4. Python writer: write identifier types without @authority.</t>
        </is>
      </c>
      <c r="J58" s="25" t="inlineStr">
        <is>
          <t>Profile issue</t>
        </is>
      </c>
      <c r="K58" s="25" t="inlineStr">
        <is>
          <t>Profile decision</t>
        </is>
      </c>
      <c r="L58" s="26" t="n"/>
      <c r="M58" s="26" t="inlineStr">
        <is>
          <t>Closed</t>
        </is>
      </c>
      <c r="N58" s="26" t="inlineStr">
        <is>
          <t>Resolved in profile v0.4 (2026-10-12): vocPREMISIdentifierTypes states that identifier types are plain values. Writer action: F009, F011, F012.
2026-10-15 implementation response: Identifier types are plain UUID/JOB_ID/filepath with no authority attributes.</t>
        </is>
      </c>
    </row>
    <row r="59" ht="165.75" customHeight="1" s="17">
      <c r="A59" s="25" t="inlineStr">
        <is>
          <t>F058</t>
        </is>
      </c>
      <c r="B59" s="25" t="inlineStr">
        <is>
          <t>Profile</t>
        </is>
      </c>
      <c r="C59" s="25" t="inlineStr">
        <is>
          <t>vocPREMISRelationship; DPM67, DPM72, DPM74, DPM75; Example 1</t>
        </is>
      </c>
      <c r="D59" s="25" t="inlineStr">
        <is>
          <t>vocPREMISRelationship
Source: [LoC-PV] Relationship Type and Relationship Subtype; local subtypes as marked.
structural / includes — …/relationshipSubType/inc (DPM71, DPM73)
structural / is Included In — …/relationshipSubType/isi (DPM72, DPM74)
derivation / has Source — …/relationshipSubType/hss (DPM75)
DPM67 Subtype of the relationship [MUST, 1..1]
object/relationship/relationshipSubType
From the LoC relationship subtype vocabulary, or a local subtype defined in the *Relationship catalogue*.
Example: has Source
DPM72 Inclusion in the intellectual entity [MUST, 1..1 per representation]
object[@xsi:type='representation']/relationship
structural / is Included In, related object the intellectual entity.
Example: 9cad434a-aedd-4955-bc53-1f1e3c1c882a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
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t>
        </is>
      </c>
      <c r="E59" s="25" t="inlineStr">
        <is>
          <t>Profile text</t>
        </is>
      </c>
      <c r="F59" s="25" t="inlineStr">
        <is>
          <t>—</t>
        </is>
      </c>
      <c r="G59" s="25" t="inlineStr">
        <is>
          <t>Profile v0.3 wrote is included in and has source. The LoC authorised labels (id.loc.gov, checked 2026-10-12) are is Included In (…/isi) and has Source (…/hss); includes matches. All other LoC values the profile writes match their labels.</t>
        </is>
      </c>
      <c r="H59" s="25" t="inlineStr">
        <is>
          <t>Labels copied from an authority are written exactly as authorised.</t>
        </is>
      </c>
      <c r="I59" s="25" t="inlineStr">
        <is>
          <t>Profile owner: change the two labels in vocPREMISRelationship, DPM72, DPM74, DPM75 and Example 1 (v0.4). Python writer: take labels from the Controlled values tab.</t>
        </is>
      </c>
      <c r="J59" s="25" t="inlineStr">
        <is>
          <t>Profile issue</t>
        </is>
      </c>
      <c r="K59" s="25" t="inlineStr">
        <is>
          <t>Profile decision</t>
        </is>
      </c>
      <c r="L59" s="26" t="n"/>
      <c r="M59" s="26" t="inlineStr">
        <is>
          <t>Closed</t>
        </is>
      </c>
      <c r="N59" s="26" t="inlineStr">
        <is>
          <t>Resolved in profile v0.4 (2026-10-12): LoC labels are written exactly as authorised (is Included In, has Source). Writer action: F010, F020, F021.
2026-10-15 implementation response: Exact authorized labels includes, is Included In and has Source used.</t>
        </is>
      </c>
    </row>
    <row r="60" ht="165.75" customHeight="1" s="17">
      <c r="A60" s="25" t="inlineStr">
        <is>
          <t>F059</t>
        </is>
      </c>
      <c r="B60" s="25" t="inlineStr">
        <is>
          <t>General</t>
        </is>
      </c>
      <c r="C60" s="25" t="inlineStr">
        <is>
          <t>DPM12</t>
        </is>
      </c>
      <c r="D60" s="25" t="inlineStr">
        <is>
          <t>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is>
      </c>
      <c r="E60" s="25" t="inlineStr">
        <is>
          <t>PREMIS file objects vs OCFL inventory v1 state</t>
        </is>
      </c>
      <c r="F60" s="25" t="inlineStr">
        <is>
          <t>8 file objects</t>
        </is>
      </c>
      <c r="G60" s="25" t="inlineStr">
        <is>
          <t>All 8 file objects match a file in the v1 state by path and SHA-512. The only v1 files not described are the PREMIS and METS files, as required. The METS digest also matches the inventory.</t>
        </is>
      </c>
      <c r="H60" s="25" t="inlineStr">
        <is>
          <t>Agreement by filepath and SHA-512.</t>
        </is>
      </c>
      <c r="I60" s="25" t="inlineStr">
        <is>
          <t>None (closed).</t>
        </is>
      </c>
      <c r="J60" s="25" t="inlineStr">
        <is>
          <t>Question</t>
        </is>
      </c>
      <c r="K60" s="25" t="inlineStr">
        <is>
          <t>—</t>
        </is>
      </c>
      <c r="L60" s="26" t="n"/>
      <c r="M60" s="26" t="inlineStr">
        <is>
          <t>Closed</t>
        </is>
      </c>
      <c r="N60" s="26" t="inlineStr">
        <is>
          <t>Resolved in review: DPM12 holds for v1. In v2 and v3, (a) holds but (b) and (d) fail (Versions row 13); those are F061 and F060. No action for the Python writer under this finding.
2026-10-15 implementation response: Original review closure/profile issue retained; no implementation closure asserted.</t>
        </is>
      </c>
    </row>
    <row r="61" ht="165.75" customHeight="1" s="17">
      <c r="A61" s="25" t="inlineStr">
        <is>
          <t>F060</t>
        </is>
      </c>
      <c r="B61" s="25" t="inlineStr">
        <is>
          <t>Versions</t>
        </is>
      </c>
      <c r="C61" s="25" t="inlineStr">
        <is>
          <t>DPM2, DPM3, DPM4, DPM117</t>
        </is>
      </c>
      <c r="D61" s="25" t="inlineStr">
        <is>
          <t>DPM2 Creation from the held predecessor [MUST, —]
steps 6–7
For v1 the preparation side writes a new file. For v2 and later it reads the head-version premis.xml from the OCFL object and writes the new SIP's PREMIS as that file plus the elements of the new version (DPM4). It records in every bag, in bag-info.txt, the OCFL version of the object the SIP was built on, as DPR-Predecessor-OCFL-Version: vN, or DPR-Predecessor-OCFL-Version: none for a new object. The ingest side commits the SIP only if the value matches the object's current state: vN equal to the head in the root inventory.json, or none with no object at the storage path. A missing field or a mismatch holds the bag; a mismatch is resolved by rebuilding the SIP on the current head. The preparation side has read access to DPR/AIP; only the ingest side writes to it.
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DPM3 Ingest appends, never regenerates [MUST, —]
step 9
After the bag has been verified (DPM112), its DPR-Predecessor-OCFL-Version confirmed against the object (DPM2), and its identifiers confirmed against the SIP (External-Identifier equal to the SIP's UUID, as the SIP METS @OBJID and DPM111's sip_id; Internal-Sender-Identifier equal to the intellectual entity's JOB_ID; DPR-Object-UUID equal to its UUID; a mismatch holds the bag), the ingest side parses the SIP's PREMIS and appends the ingest fixity verification (DPM112) and AIP creation (DPM113) events, with a description of each of their executing programs not already described (DPM78). It then validates the result (DPM10), rewrites METS.xml with the new PREMIS digest and the AIP package type (DPM11; the METS profile), checks digest agreement (DPM12) and commits the version with its commit record (DPM14). A failure at any point holds the bag and commits nothing. Every element received in the SIP's PREMIS is carried forward unchanged; preparation-side provenance exists nowhere else.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is>
      </c>
      <c r="E61" s="25" t="inlineStr">
        <is>
          <t>premis/* across v1 → v2 → v3</t>
        </is>
      </c>
      <c r="F61" s="25" t="inlineStr">
        <is>
          <t>2 version transitions</t>
        </is>
      </c>
      <c r="G61" s="25" t="inlineStr">
        <is>
          <t>Each version's PREMIS is regenerated, not appended. v2 carries none of the 6 v1 events; v3 none of the 11 v2 events. Of the 20 top-level elements of v1, 7 recur unchanged in v2; of v2's 30, 8 in v3. Each version describes only its own run, so the head PREMIS (v3) holds no record of how v1 and v2 came to be; that record survives only in the superseded premis.xml files in v1/ and v2/.</t>
        </is>
      </c>
      <c r="H61" s="25" t="inlineStr">
        <is>
          <t>Each version's PREMIS is its predecessor's, every element unchanged, plus the version's additions.</t>
        </is>
      </c>
      <c r="I61" s="25" t="inlineStr">
        <is>
          <t>Preparation side: read the head premis.xml from the OCFL object (DPM2) and append the version's new objects, relationships, events and agents; never regenerate. Record DPR-Predecessor-OCFL-Version in bag-info.txt. Ingest side: check that the predecessor's elements are carried unchanged before commit (DPM12 (d)). Workflow tab: W03, W06.</t>
        </is>
      </c>
      <c r="J61" s="25" t="inlineStr">
        <is>
          <t>Non-conformance</t>
        </is>
      </c>
      <c r="K61" s="25" t="inlineStr">
        <is>
          <t>None — fixable now</t>
        </is>
      </c>
      <c r="L61" s="26" t="inlineStr">
        <is>
          <t>EG / implementation</t>
        </is>
      </c>
      <c r="M61" s="26" t="inlineStr">
        <is>
          <t>In progress</t>
        </is>
      </c>
      <c r="N61" s="26" t="inlineStr">
        <is>
          <t>2026-10-15 implementation response: Read predecessor PREMIS from the repository head; append entities/relationships only. Predecessor head checked by PoC8, PoC9 and again immediately before commit.</t>
        </is>
      </c>
    </row>
    <row r="62" ht="165.75" customHeight="1" s="17">
      <c r="A62" s="25" t="inlineStr">
        <is>
          <t>F061</t>
        </is>
      </c>
      <c r="B62" s="25" t="inlineStr">
        <is>
          <t>Versions</t>
        </is>
      </c>
      <c r="C62" s="25" t="inlineStr">
        <is>
          <t>DPM4; Superseded files; DPM12 (b)</t>
        </is>
      </c>
      <c r="D62" s="25" t="inlineStr">
        <is>
          <t>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Superseded files (Modification by version type)
A re-issue, a metadata change or a master reconversion writes new bytes at an existing logical path. The new file is a new object with a new file_id (DPM8). The predecessor's object stays in PREMIS unchanged, since it is still held in its version. The representation gains an includes relationship to the new file; its relationship to the predecessor is not removed. Which file is current at the head is answered by the OCFL head state, not by PREMIS.
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is>
      </c>
      <c r="E62" s="25" t="inlineStr">
        <is>
          <t>File objects across versions</t>
        </is>
      </c>
      <c r="F62" s="25" t="inlineStr">
        <is>
          <t>es master ×2, fr master ×1, and their reports</t>
        </is>
      </c>
      <c r="G62" s="25" t="inlineStr">
        <is>
          <t>Superseded files are no longer described. The v1 es master (SHA-512 031ad184…) is not in the v2 or v3 PREMIS; the v2 es and fr masters (c3713849…, bebeae14…) are not in v3; likewise the superseded veraPDF and QA reports, conversion logs, DROID report, DOME and dome_sql_extraction.json. Files are identified by path, so a new file at a path replaces the old one's description.</t>
        </is>
      </c>
      <c r="H62" s="25" t="inlineStr">
        <is>
          <t>A superseded file stays described as its own object with its own UUID; the representation keeps its includes to it and gains one to the new file.</t>
        </is>
      </c>
      <c r="I62" s="25" t="inlineStr">
        <is>
          <t>Identify files by UUID (F011). When new bytes arrive at an existing path, add a new file object and keep the old one unchanged (DPM4). Workflow tab: W03.</t>
        </is>
      </c>
      <c r="J62" s="25" t="inlineStr">
        <is>
          <t>Non-conformance</t>
        </is>
      </c>
      <c r="K62" s="25" t="inlineStr">
        <is>
          <t>None — fixable now</t>
        </is>
      </c>
      <c r="L62" s="26" t="inlineStr">
        <is>
          <t>EG / implementation</t>
        </is>
      </c>
      <c r="M62" s="26" t="inlineStr">
        <is>
          <t>In progress</t>
        </is>
      </c>
      <c r="N62" s="26" t="inlineStr">
        <is>
          <t>2026-10-15 implementation response: Superseded objects kept unchanged; payload-history agreement checks path+SHA-512 across all version states.</t>
        </is>
      </c>
    </row>
    <row r="63" ht="165.75" customHeight="1" s="17">
      <c r="A63" s="25" t="inlineStr">
        <is>
          <t>F062</t>
        </is>
      </c>
      <c r="B63" s="25" t="inlineStr">
        <is>
          <t>Versions</t>
        </is>
      </c>
      <c r="C63" s="25" t="inlineStr">
        <is>
          <t>Modification by version type</t>
        </is>
      </c>
      <c r="D63" s="25" t="inlineStr">
        <is>
          <t>Modification by version type
New language version (v2+), language_added (proposed): objects appended — the new language's held files and published PDF; new reports; new DROID report. Events appended — DPM103–DPM109 for the new files; DPM110 if DOME changes; DPM111–DPM113.
Re-issue (v2+), modified_files: the changed language versions' new published PDFs, masters and reports.</t>
        </is>
      </c>
      <c r="E63" s="25" t="inlineStr">
        <is>
          <t>rep_2 masters and their reports, v2 and v3</t>
        </is>
      </c>
      <c r="F63" s="25" t="inlineStr">
        <is>
          <t>es master in v2 and v3; fr master in v3</t>
        </is>
      </c>
      <c r="G63" s="25" t="inlineStr">
        <is>
          <t>The published PDFs did not change between versions (QA report source.sha512: es 9986bff4… in v1–v3; fr b2563a60… in v2–v3), yet the es master was converted again in v2 and v3 and the fr master in v3. The new masters differ from their predecessors only in ModDate, XMP ModifyDate and the document ID (13 to 17 bytes); their veraPDF and QA reports and conversion logs were regenerated, and dome_sql_extraction.json differs only in extracted_utc. OCFL therefore stores three es masters and two fr masters. The DOCX files are written once and carried forward, as expected. This is the design: Workflow Documentation v2.5 §4.4 invalidates all derived masters, reports and metadata when any source changes or a new file arrives (contradicting its own §5.1).</t>
        </is>
      </c>
      <c r="H63" s="25" t="inlineStr">
        <is>
          <t>A version converts only language versions that are new or whose published PDF changed.</t>
        </is>
      </c>
      <c r="I63" s="25" t="inlineStr">
        <is>
          <t>Developer: in PoC 1, invalidate only the outputs derived from a new or changed source; carry the held masters and reports of unchanged sources forward, and do not regenerate dome_sql_extraction.json unless the DOL metadata changed. Workflow tab: W01, W02, W09.</t>
        </is>
      </c>
      <c r="J63" s="25" t="inlineStr">
        <is>
          <t>Non-conformance</t>
        </is>
      </c>
      <c r="K63" s="25" t="inlineStr">
        <is>
          <t>None — fixable now</t>
        </is>
      </c>
      <c r="L63" s="26" t="inlineStr">
        <is>
          <t>EG / implementation</t>
        </is>
      </c>
      <c r="M63" s="26" t="inlineStr">
        <is>
          <t>In progress</t>
        </is>
      </c>
      <c r="N63" s="26" t="inlineStr">
        <is>
          <t>2026-10-15 implementation response: Existing source/master/report work reused after fixity checks. SQL extraction and DOME change only with SQL content. Explicit master_reconversion routing remains unimplemented.</t>
        </is>
      </c>
    </row>
    <row r="64" ht="165.75" customHeight="1" s="17">
      <c r="A64" s="25" t="inlineStr">
        <is>
          <t>F063</t>
        </is>
      </c>
      <c r="B64" s="25" t="inlineStr">
        <is>
          <t>Versions</t>
        </is>
      </c>
      <c r="C64" s="25" t="inlineStr">
        <is>
          <t>DPM92</t>
        </is>
      </c>
      <c r="D64" s="25" t="inlineStr">
        <is>
          <t>DPM92 Time of the event [MUST, 1..1]
event/eventDateTime
The time the event completed: RFC 3339 date-time in UTC (Z), to the second.
Example: 2026-10-12T08:41:52Z</t>
        </is>
      </c>
      <c r="E64" s="25" t="inlineStr">
        <is>
          <t>event/eventDateTime, v2 and v3</t>
        </is>
      </c>
      <c r="F64" s="25" t="inlineStr">
        <is>
          <t>v2: 4 groups; v3: 4 groups</t>
        </is>
      </c>
      <c r="G64" s="25" t="inlineStr">
        <is>
          <t>Events of one step share the timestamp to the microsecond: in v2 the four ingestion events (13:11:43.922745Z), the two normalisations (13:12:18.276187Z), the two validations and the two QA events; in v3 the six ingestion events and the three normalisations, validations and QA events. The time is that of the batch step, not of each event.</t>
        </is>
      </c>
      <c r="H64" s="25" t="inlineStr">
        <is>
          <t>Each event's own completion time.</t>
        </is>
      </c>
      <c r="I64" s="25" t="inlineStr">
        <is>
          <t>Take eventDateTime when each event completes, not once per step. The format of F031 applies.</t>
        </is>
      </c>
      <c r="J64" s="25" t="inlineStr">
        <is>
          <t>Non-conformance</t>
        </is>
      </c>
      <c r="K64" s="25" t="inlineStr">
        <is>
          <t>None — fixable now</t>
        </is>
      </c>
      <c r="L64" s="26" t="inlineStr">
        <is>
          <t>EG / implementation</t>
        </is>
      </c>
      <c r="M64" s="26" t="inlineStr">
        <is>
          <t>In progress</t>
        </is>
      </c>
      <c r="N64" s="26" t="inlineStr">
        <is>
          <t>2026-10-15 implementation response: New records capture operation completion timestamps. Legacy record timestamps are fallback approximations; do not claim historical per-operation precision.</t>
        </is>
      </c>
    </row>
    <row r="65" ht="165.75" customHeight="1" s="17">
      <c r="A65" s="25" t="inlineStr">
        <is>
          <t>F064</t>
        </is>
      </c>
      <c r="B65" s="25" t="inlineStr">
        <is>
          <t>Versions</t>
        </is>
      </c>
      <c r="C65" s="25" t="inlineStr">
        <is>
          <t>F001–F055</t>
        </is>
      </c>
      <c r="D65" s="25" t="inlineStr">
        <is>
          <t>All requirements cited in F001–F055.</t>
        </is>
      </c>
      <c r="E65" s="25" t="inlineStr">
        <is>
          <t>v2 and v3 PREMIS</t>
        </is>
      </c>
      <c r="F65" s="25" t="inlineStr">
        <is>
          <t>2 files</t>
        </is>
      </c>
      <c r="G65" s="25" t="inlineStr">
        <is>
          <t>The v2 and v3 PREMIS repeat every v1 pattern: CRLF and the ElementTree declaration; premis: prefix; the intellectual entity typed as representation; local-path identifiers (13 and 18 file objects); MIME-type formats; no published PDF; agents identified by name; event UUIDs version 5.</t>
        </is>
      </c>
      <c r="H65" s="25" t="inlineStr">
        <is>
          <t>As F001–F055.</t>
        </is>
      </c>
      <c r="I65" s="25" t="inlineStr">
        <is>
          <t>No separate action: fixing the writer for F001–F055 fixes later versions from the next run. The committed v1–v3 stay as they are (DPM4); whether test objects are re-ingested is for the profile owner. Workflow tab: W15.</t>
        </is>
      </c>
      <c r="J65" s="25" t="inlineStr">
        <is>
          <t>Non-conformance</t>
        </is>
      </c>
      <c r="K65" s="25" t="inlineStr">
        <is>
          <t>None — fixable now</t>
        </is>
      </c>
      <c r="L65" s="26" t="inlineStr">
        <is>
          <t>EG / implementation</t>
        </is>
      </c>
      <c r="M65" s="26" t="inlineStr">
        <is>
          <t>In progress</t>
        </is>
      </c>
      <c r="N65" s="26" t="inlineStr">
        <is>
          <t>2026-10-15 implementation response: Forward fixes only. No committed production inventory or PREMIS version is rewritten; migration of legacy bare inventory IDs is intentionally rejected in profile mode.</t>
        </is>
      </c>
    </row>
    <row r="66" ht="165.75" customHeight="1" s="17">
      <c r="A66" s="25" t="inlineStr">
        <is>
          <t>F065</t>
        </is>
      </c>
      <c r="B66" s="25" t="inlineStr">
        <is>
          <t>Versions</t>
        </is>
      </c>
      <c r="C66" s="25" t="inlineStr">
        <is>
          <t>DPM102, DPM103, DPM104</t>
        </is>
      </c>
      <c r="D66"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
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is>
      </c>
      <c r="E66" s="25" t="inlineStr">
        <is>
          <t>ingestion events, v2 and v3</t>
        </is>
      </c>
      <c r="F66" s="25" t="inlineStr">
        <is>
          <t>v2: 4; v3: 6</t>
        </is>
      </c>
      <c r="G66" s="25" t="inlineStr">
        <is>
          <t>Ingestion events are written in every version, two per language present: 2 in v1, 4 in v2, 6 in v3, all linking ec1921e0-… (the intellectual entity). In v2 and v3 they also cover the languages already held.</t>
        </is>
      </c>
      <c r="H66" s="25" t="inlineStr">
        <is>
          <t>Ingestion start once per AIP, in v1 only. In later versions, digest calculation and copy fixity verification for the new language's extracted files only.</t>
        </is>
      </c>
      <c r="I66" s="25" t="inlineStr">
        <is>
          <t>Write ingestion start only when the object is created (v1). For v2 and later, write DPM103 and DPM104 per new extracted file (DOCX, published PDF), linking each file's UUID (F040).</t>
        </is>
      </c>
      <c r="J66" s="25" t="inlineStr">
        <is>
          <t>Non-conformance</t>
        </is>
      </c>
      <c r="K66" s="25" t="inlineStr">
        <is>
          <t>None — fixable now</t>
        </is>
      </c>
      <c r="L66" s="26" t="inlineStr">
        <is>
          <t>EG / implementation</t>
        </is>
      </c>
      <c r="M66" s="26" t="inlineStr">
        <is>
          <t>In progress</t>
        </is>
      </c>
      <c r="N66" s="26" t="inlineStr">
        <is>
          <t>2026-10-15 implementation response: Ingestion start only once; digest/fixity events are added only for newly described sources.</t>
        </is>
      </c>
    </row>
    <row r="67" ht="165.75" customHeight="1" s="17">
      <c r="A67" s="25" t="inlineStr">
        <is>
          <t>F066</t>
        </is>
      </c>
      <c r="B67" s="25" t="inlineStr">
        <is>
          <t>Versions</t>
        </is>
      </c>
      <c r="C67" s="25" t="inlineStr">
        <is>
          <t>DPM109</t>
        </is>
      </c>
      <c r="D67"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67" s="25" t="inlineStr">
        <is>
          <t>format identification events, v2 and v3</t>
        </is>
      </c>
      <c r="F67" s="25" t="inlineStr">
        <is>
          <t>v2: 1 unchanged file; v3: 2</t>
        </is>
      </c>
      <c r="G67" s="25" t="inlineStr">
        <is>
          <t>The v2 event links the es DOCX, unchanged since v1 (SHA-512 d7aa205f… in v1–v3); the v3 event links the es and fr DOCX, both unchanged. The timing fault of F047 recurs: in both versions the event is dated before the normalisations it follows (v2 13:12:09 vs 13:12:18; v3 13:13:39 vs 13:13:49), yet links the masters.</t>
        </is>
      </c>
      <c r="H67" s="25" t="inlineStr">
        <is>
          <t>Identify only the files the version adds, and the published PDFs of its new masters; files carried forward were identified in the version that added them.</t>
        </is>
      </c>
      <c r="I67" s="25" t="inlineStr">
        <is>
          <t>Run DROID over the version's new files only (and the published PDFs of new masters), after normalisation, and link those files. Depends on F062: if unchanged language versions are no longer reprocessed, the scope follows. Workflow tab: W01, W05, W14.</t>
        </is>
      </c>
      <c r="J67" s="25" t="inlineStr">
        <is>
          <t>Non-conformance</t>
        </is>
      </c>
      <c r="K67" s="25" t="inlineStr">
        <is>
          <t>None — fixable now</t>
        </is>
      </c>
      <c r="L67" s="26" t="inlineStr">
        <is>
          <t>EG / implementation</t>
        </is>
      </c>
      <c r="M67" s="26" t="inlineStr">
        <is>
          <t>In progress</t>
        </is>
      </c>
      <c r="N67" s="26" t="inlineStr">
        <is>
          <t>2026-10-15 implementation response: Post-conversion DROID filters to new/changed files; carried files reuse predecessor objects. Source characterization remains a separate pre-conversion check.</t>
        </is>
      </c>
    </row>
    <row r="68" ht="165.75" customHeight="1" s="17">
      <c r="A68" s="25" t="inlineStr">
        <is>
          <t>F067</t>
        </is>
      </c>
      <c r="B68" s="25" t="inlineStr">
        <is>
          <t>Versions</t>
        </is>
      </c>
      <c r="C68" s="25" t="inlineStr">
        <is>
          <t>DPM110</t>
        </is>
      </c>
      <c r="D68" s="25" t="inlineStr">
        <is>
          <t>DPM110 Descriptive metadata revision [MUST, 1 per DOME file written after v1]
event[eventType='metadata modification']
A DOME record written in v2 or later, replacing the previous one at its path (see *Superseded files*). Linked objects: the intellectual entity (no role); the new DOME file (outcome); the previous DOME file (source). Executing program: the DOME script. Event detail: cat_header_id: &lt;value&gt;, as for DPM116. Side: preparation.
Example: cat_header_id: [DOL-RECORD-ID]</t>
        </is>
      </c>
      <c r="E68" s="25" t="inlineStr">
        <is>
          <t>DOME revision events, v2 and v3</t>
        </is>
      </c>
      <c r="F68" s="25" t="inlineStr">
        <is>
          <t>2 (expected 2)</t>
        </is>
      </c>
      <c r="G68" s="25" t="inlineStr">
        <is>
          <t>DOME was rewritten in v2 (French added) and v3 (English added): the diff shows the new &lt;file&gt; entries for the added language. Neither version has a descriptive metadata revision event.</t>
        </is>
      </c>
      <c r="H68" s="25" t="inlineStr">
        <is>
          <t>One metadata modification event per DOME file written after v1, linking the intellectual entity (no role), the new DOME file (outcome) and the previous DOME file (source).</t>
        </is>
      </c>
      <c r="I68" s="25" t="inlineStr">
        <is>
          <t>For each DOME written in v2 and later: add a metadata modification event (DPM110; @valueURI http://id.loc.gov/vocabulary/preservation/eventType/mem) linking [OBJECT-UUID] without role, the new DOME file UUID with role outcome and the predecessor DOME file UUID with role source, and event detail cat_header_id: &lt;DOL CatHeaderId&gt;; executing program the DOME script, authorizer the operator. The predecessor stays described (F061). Workflow tab: W01, W08.</t>
        </is>
      </c>
      <c r="J68" s="25" t="inlineStr">
        <is>
          <t>Non-conformance</t>
        </is>
      </c>
      <c r="K68" s="25" t="inlineStr">
        <is>
          <t>None — fixable now</t>
        </is>
      </c>
      <c r="L68" s="26" t="inlineStr">
        <is>
          <t>EG / implementation</t>
        </is>
      </c>
      <c r="M68" s="26" t="inlineStr">
        <is>
          <t>In progress</t>
        </is>
      </c>
      <c r="N68" s="26" t="inlineStr">
        <is>
          <t>2026-10-15 implementation response: DOME revision is a metadata modification event with predecessor DOME source and new DOME outcome; stable SQL leaves DOME byte-identical.</t>
        </is>
      </c>
    </row>
  </sheetData>
  <autoFilter ref="A1:N68"/>
  <dataValidations count="2">
    <dataValidation sqref="J2:J68" showErrorMessage="0" showDropDown="0" showInputMessage="0" allowBlank="1" type="list" errorStyle="stop" operator="between">
      <formula1>"Non-conformance,Suspected defect,Question,Profile issue"</formula1>
      <formula2>0</formula2>
    </dataValidation>
    <dataValidation sqref="M2:M68" showErrorMessage="0" showDropDown="0" showInputMessage="0" allowBlank="1" type="list" errorStyle="stop" operator="between">
      <formula1>"Open,In progress,Fixed,Deferred,Not accepted,Closed"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28" customWidth="1" style="16" min="2" max="2"/>
    <col width="26" customWidth="1" style="16" min="3" max="3"/>
    <col width="62" customWidth="1" style="16" min="4" max="4"/>
    <col width="70" customWidth="1" style="16" min="5" max="5"/>
    <col width="26" customWidth="1" style="16" min="6" max="6"/>
    <col width="34" customWidth="1" style="16" min="7" max="7"/>
  </cols>
  <sheetData>
    <row r="1" ht="15" customHeight="1" s="17">
      <c r="A1" s="21" t="inlineStr">
        <is>
          <t>Element</t>
        </is>
      </c>
      <c r="B1" s="21" t="inlineStr">
        <is>
          <t>Value</t>
        </is>
      </c>
      <c r="C1" s="21" t="inlineStr">
        <is>
          <t>@authority</t>
        </is>
      </c>
      <c r="D1" s="21" t="inlineStr">
        <is>
          <t>@authorityURI</t>
        </is>
      </c>
      <c r="E1" s="21" t="inlineStr">
        <is>
          <t>@valueURI</t>
        </is>
      </c>
      <c r="F1" s="21" t="inlineStr">
        <is>
          <t>Profile rules</t>
        </is>
      </c>
      <c r="G1" s="21" t="inlineStr">
        <is>
          <t>PoC writes (v1)</t>
        </is>
      </c>
    </row>
    <row r="2" ht="15" customHeight="1" s="17">
      <c r="A2" s="25" t="inlineStr">
        <is>
          <t>messageDigestAlgorithm</t>
        </is>
      </c>
      <c r="B2" s="25" t="inlineStr">
        <is>
          <t>SHA-512</t>
        </is>
      </c>
      <c r="C2" s="25" t="inlineStr">
        <is>
          <t>cryptographicHashFunctions</t>
        </is>
      </c>
      <c r="D2" s="25" t="inlineStr">
        <is>
          <t>http://id.loc.gov/vocabulary/preservation/cryptographicHashFunctions</t>
        </is>
      </c>
      <c r="E2" s="25" t="inlineStr">
        <is>
          <t>http://id.loc.gov/vocabulary/preservation/cryptographicHashFunctions/sha512</t>
        </is>
      </c>
      <c r="F2" s="25" t="inlineStr">
        <is>
          <t>DPM45</t>
        </is>
      </c>
      <c r="G2" s="25" t="inlineStr">
        <is>
          <t>SHA-512, without attributes</t>
        </is>
      </c>
    </row>
    <row r="3" ht="15" customHeight="1" s="17">
      <c r="A3" s="25" t="inlineStr">
        <is>
          <t>formatRegistryRole</t>
        </is>
      </c>
      <c r="B3" s="25" t="inlineStr">
        <is>
          <t>specification</t>
        </is>
      </c>
      <c r="C3" s="25" t="inlineStr">
        <is>
          <t>formatRegistryRole</t>
        </is>
      </c>
      <c r="D3" s="25" t="inlineStr">
        <is>
          <t>http://id.loc.gov/vocabulary/preservation/formatRegistryRole</t>
        </is>
      </c>
      <c r="E3" s="25" t="inlineStr">
        <is>
          <t>http://id.loc.gov/vocabulary/preservation/formatRegistryRole/spe</t>
        </is>
      </c>
      <c r="F3" s="25" t="inlineStr">
        <is>
          <t>DPM56</t>
        </is>
      </c>
      <c r="G3" s="25" t="inlineStr">
        <is>
          <t>absent</t>
        </is>
      </c>
    </row>
    <row r="4" ht="15" customHeight="1" s="17">
      <c r="A4" s="25" t="inlineStr">
        <is>
          <t>relationshipType</t>
        </is>
      </c>
      <c r="B4" s="25" t="inlineStr">
        <is>
          <t>structural</t>
        </is>
      </c>
      <c r="C4" s="25" t="inlineStr">
        <is>
          <t>relationshipType</t>
        </is>
      </c>
      <c r="D4" s="25" t="inlineStr">
        <is>
          <t>http://id.loc.gov/vocabulary/preservation/relationshipType</t>
        </is>
      </c>
      <c r="E4" s="25" t="inlineStr">
        <is>
          <t>http://id.loc.gov/vocabulary/preservation/relationshipType/str</t>
        </is>
      </c>
      <c r="F4" s="25" t="inlineStr">
        <is>
          <t>DPM66, DPM71–DPM74</t>
        </is>
      </c>
      <c r="G4" s="25" t="inlineStr">
        <is>
          <t>structural, without attributes</t>
        </is>
      </c>
    </row>
    <row r="5" ht="15" customHeight="1" s="17">
      <c r="A5" s="25" t="inlineStr">
        <is>
          <t>relationshipType</t>
        </is>
      </c>
      <c r="B5" s="25" t="inlineStr">
        <is>
          <t>derivation</t>
        </is>
      </c>
      <c r="C5" s="25" t="inlineStr">
        <is>
          <t>relationshipType</t>
        </is>
      </c>
      <c r="D5" s="25" t="inlineStr">
        <is>
          <t>http://id.loc.gov/vocabulary/preservation/relationshipType</t>
        </is>
      </c>
      <c r="E5" s="25" t="inlineStr">
        <is>
          <t>http://id.loc.gov/vocabulary/preservation/relationshipType/der</t>
        </is>
      </c>
      <c r="F5" s="25" t="inlineStr">
        <is>
          <t>DPM66, DPM75</t>
        </is>
      </c>
      <c r="G5" s="25" t="inlineStr">
        <is>
          <t>absent</t>
        </is>
      </c>
    </row>
    <row r="6" ht="23.25" customHeight="1" s="17">
      <c r="A6" s="25" t="inlineStr">
        <is>
          <t>relationshipType</t>
        </is>
      </c>
      <c r="B6" s="25" t="inlineStr">
        <is>
          <t>dependency</t>
        </is>
      </c>
      <c r="C6" s="25" t="inlineStr">
        <is>
          <t>relationshipType</t>
        </is>
      </c>
      <c r="D6" s="25" t="inlineStr">
        <is>
          <t>http://id.loc.gov/vocabulary/preservation/relationshipType</t>
        </is>
      </c>
      <c r="E6" s="25" t="inlineStr">
        <is>
          <t>http://id.loc.gov/vocabulary/preservation/relationshipType/dep</t>
        </is>
      </c>
      <c r="F6" s="25" t="inlineStr">
        <is>
          <t>DPM66, DPM76, DPM77, DPM118</t>
        </is>
      </c>
      <c r="G6" s="25" t="inlineStr">
        <is>
          <t>absent</t>
        </is>
      </c>
    </row>
    <row r="7" ht="15" customHeight="1" s="17">
      <c r="A7" s="25" t="inlineStr">
        <is>
          <t>relationshipSubType</t>
        </is>
      </c>
      <c r="B7" s="25" t="inlineStr">
        <is>
          <t>includes</t>
        </is>
      </c>
      <c r="C7" s="25" t="inlineStr">
        <is>
          <t>relationshipSubType</t>
        </is>
      </c>
      <c r="D7" s="25" t="inlineStr">
        <is>
          <t>http://id.loc.gov/vocabulary/preservation/relationshipSubType</t>
        </is>
      </c>
      <c r="E7" s="25" t="inlineStr">
        <is>
          <t>http://id.loc.gov/vocabulary/preservation/relationshipSubType/inc</t>
        </is>
      </c>
      <c r="F7" s="25" t="inlineStr">
        <is>
          <t>DPM71, DPM73</t>
        </is>
      </c>
      <c r="G7" s="25" t="inlineStr">
        <is>
          <t>absent</t>
        </is>
      </c>
    </row>
    <row r="8" ht="15" customHeight="1" s="17">
      <c r="A8" s="25" t="inlineStr">
        <is>
          <t>relationshipSubType</t>
        </is>
      </c>
      <c r="B8" s="27" t="inlineStr">
        <is>
          <t>is Included In</t>
        </is>
      </c>
      <c r="C8" s="25" t="inlineStr">
        <is>
          <t>relationshipSubType</t>
        </is>
      </c>
      <c r="D8" s="25" t="inlineStr">
        <is>
          <t>http://id.loc.gov/vocabulary/preservation/relationshipSubType</t>
        </is>
      </c>
      <c r="E8" s="25" t="inlineStr">
        <is>
          <t>http://id.loc.gov/vocabulary/preservation/relationshipSubType/isi</t>
        </is>
      </c>
      <c r="F8" s="25" t="inlineStr">
        <is>
          <t>DPM72, DPM74 (label: F058)</t>
        </is>
      </c>
      <c r="G8" s="25" t="inlineStr">
        <is>
          <t>is part of</t>
        </is>
      </c>
    </row>
    <row r="9" ht="15" customHeight="1" s="17">
      <c r="A9" s="25" t="inlineStr">
        <is>
          <t>relationshipSubType</t>
        </is>
      </c>
      <c r="B9" s="27" t="inlineStr">
        <is>
          <t>has Source</t>
        </is>
      </c>
      <c r="C9" s="25" t="inlineStr">
        <is>
          <t>relationshipSubType</t>
        </is>
      </c>
      <c r="D9" s="25" t="inlineStr">
        <is>
          <t>http://id.loc.gov/vocabulary/preservation/relationshipSubType</t>
        </is>
      </c>
      <c r="E9" s="25" t="inlineStr">
        <is>
          <t>http://id.loc.gov/vocabulary/preservation/relationshipSubType/hss</t>
        </is>
      </c>
      <c r="F9" s="25" t="inlineStr">
        <is>
          <t>DPM75 (label: F058)</t>
        </is>
      </c>
      <c r="G9" s="25" t="inlineStr">
        <is>
          <t>absent</t>
        </is>
      </c>
    </row>
    <row r="10" ht="15" customHeight="1" s="17">
      <c r="A10" s="25" t="inlineStr">
        <is>
          <t>relationshipSubType</t>
        </is>
      </c>
      <c r="B10" s="25" t="inlineStr">
        <is>
          <t>isValidationReportOf</t>
        </is>
      </c>
      <c r="C10" s="25" t="inlineStr">
        <is>
          <t>local</t>
        </is>
      </c>
      <c r="D10" s="25" t="n"/>
      <c r="E10" s="25" t="n"/>
      <c r="F10" s="25" t="inlineStr">
        <is>
          <t>DPM76</t>
        </is>
      </c>
      <c r="G10" s="25" t="inlineStr">
        <is>
          <t>absent</t>
        </is>
      </c>
    </row>
    <row r="11" ht="15" customHeight="1" s="17">
      <c r="A11" s="25" t="inlineStr">
        <is>
          <t>relationshipSubType</t>
        </is>
      </c>
      <c r="B11" s="25" t="inlineStr">
        <is>
          <t>isQaReportOf</t>
        </is>
      </c>
      <c r="C11" s="25" t="inlineStr">
        <is>
          <t>local</t>
        </is>
      </c>
      <c r="D11" s="25" t="n"/>
      <c r="E11" s="25" t="n"/>
      <c r="F11" s="25" t="inlineStr">
        <is>
          <t>DPM77</t>
        </is>
      </c>
      <c r="G11" s="25" t="inlineStr">
        <is>
          <t>absent</t>
        </is>
      </c>
    </row>
    <row r="12" ht="15" customHeight="1" s="17">
      <c r="A12" s="25" t="inlineStr">
        <is>
          <t>relationshipSubType</t>
        </is>
      </c>
      <c r="B12" s="25" t="inlineStr">
        <is>
          <t>isConversionLogOf</t>
        </is>
      </c>
      <c r="C12" s="25" t="inlineStr">
        <is>
          <t>local</t>
        </is>
      </c>
      <c r="D12" s="25" t="n"/>
      <c r="E12" s="25" t="n"/>
      <c r="F12" s="25" t="inlineStr">
        <is>
          <t>DPM118</t>
        </is>
      </c>
      <c r="G12" s="25" t="inlineStr">
        <is>
          <t>absent</t>
        </is>
      </c>
    </row>
    <row r="13" ht="15" customHeight="1" s="17">
      <c r="A13" s="25" t="inlineStr">
        <is>
          <t>eventType</t>
        </is>
      </c>
      <c r="B13" s="25" t="inlineStr">
        <is>
          <t>ingestion start</t>
        </is>
      </c>
      <c r="C13" s="25" t="inlineStr">
        <is>
          <t>eventType</t>
        </is>
      </c>
      <c r="D13" s="25" t="inlineStr">
        <is>
          <t>http://id.loc.gov/vocabulary/preservation/eventType</t>
        </is>
      </c>
      <c r="E13" s="25" t="inlineStr">
        <is>
          <t>http://id.loc.gov/vocabulary/preservation/eventType/ins</t>
        </is>
      </c>
      <c r="F13" s="25" t="inlineStr">
        <is>
          <t>DPM102</t>
        </is>
      </c>
      <c r="G13" s="25" t="inlineStr">
        <is>
          <t>ingestion (×2)</t>
        </is>
      </c>
    </row>
    <row r="14" ht="15" customHeight="1" s="17">
      <c r="A14" s="25" t="inlineStr">
        <is>
          <t>eventType</t>
        </is>
      </c>
      <c r="B14" s="25" t="inlineStr">
        <is>
          <t>message digest calculation</t>
        </is>
      </c>
      <c r="C14" s="25" t="inlineStr">
        <is>
          <t>eventType</t>
        </is>
      </c>
      <c r="D14" s="25" t="inlineStr">
        <is>
          <t>http://id.loc.gov/vocabulary/preservation/eventType</t>
        </is>
      </c>
      <c r="E14" s="25" t="inlineStr">
        <is>
          <t>http://id.loc.gov/vocabulary/preservation/eventType/mes</t>
        </is>
      </c>
      <c r="F14" s="25" t="inlineStr">
        <is>
          <t>DPM103</t>
        </is>
      </c>
      <c r="G14" s="25" t="inlineStr">
        <is>
          <t>absent</t>
        </is>
      </c>
    </row>
    <row r="15" ht="15" customHeight="1" s="17">
      <c r="A15" s="25" t="inlineStr">
        <is>
          <t>eventType</t>
        </is>
      </c>
      <c r="B15" s="25" t="inlineStr">
        <is>
          <t>fixity check</t>
        </is>
      </c>
      <c r="C15" s="25" t="inlineStr">
        <is>
          <t>eventType</t>
        </is>
      </c>
      <c r="D15" s="25" t="inlineStr">
        <is>
          <t>http://id.loc.gov/vocabulary/preservation/eventType</t>
        </is>
      </c>
      <c r="E15" s="25" t="inlineStr">
        <is>
          <t>http://id.loc.gov/vocabulary/preservation/eventType/fix</t>
        </is>
      </c>
      <c r="F15" s="25" t="inlineStr">
        <is>
          <t>DPM104, DPM112</t>
        </is>
      </c>
      <c r="G15" s="25" t="inlineStr">
        <is>
          <t>absent</t>
        </is>
      </c>
    </row>
    <row r="16" ht="15" customHeight="1" s="17">
      <c r="A16" s="25" t="inlineStr">
        <is>
          <t>eventType</t>
        </is>
      </c>
      <c r="B16" s="25" t="inlineStr">
        <is>
          <t>filename change</t>
        </is>
      </c>
      <c r="C16" s="25" t="inlineStr">
        <is>
          <t>eventType</t>
        </is>
      </c>
      <c r="D16" s="25" t="inlineStr">
        <is>
          <t>http://id.loc.gov/vocabulary/preservation/eventType</t>
        </is>
      </c>
      <c r="E16" s="25" t="inlineStr">
        <is>
          <t>http://id.loc.gov/vocabulary/preservation/eventType/fil</t>
        </is>
      </c>
      <c r="F16" s="25" t="inlineStr">
        <is>
          <t>DPM105</t>
        </is>
      </c>
      <c r="G16" s="25" t="inlineStr">
        <is>
          <t>absent</t>
        </is>
      </c>
    </row>
    <row r="17" ht="15" customHeight="1" s="17">
      <c r="A17" s="25" t="inlineStr">
        <is>
          <t>eventType</t>
        </is>
      </c>
      <c r="B17" s="25" t="inlineStr">
        <is>
          <t>normalization</t>
        </is>
      </c>
      <c r="C17" s="25" t="inlineStr">
        <is>
          <t>eventType</t>
        </is>
      </c>
      <c r="D17" s="25" t="inlineStr">
        <is>
          <t>http://id.loc.gov/vocabulary/preservation/eventType</t>
        </is>
      </c>
      <c r="E17" s="25" t="inlineStr">
        <is>
          <t>http://id.loc.gov/vocabulary/preservation/eventType/nor</t>
        </is>
      </c>
      <c r="F17" s="25" t="inlineStr">
        <is>
          <t>DPM106</t>
        </is>
      </c>
      <c r="G17" s="25" t="inlineStr">
        <is>
          <t>normalization, without attributes</t>
        </is>
      </c>
    </row>
    <row r="18" ht="15" customHeight="1" s="17">
      <c r="A18" s="25" t="inlineStr">
        <is>
          <t>eventType</t>
        </is>
      </c>
      <c r="B18" s="25" t="inlineStr">
        <is>
          <t>validation</t>
        </is>
      </c>
      <c r="C18" s="25" t="inlineStr">
        <is>
          <t>eventType</t>
        </is>
      </c>
      <c r="D18" s="25" t="inlineStr">
        <is>
          <t>http://id.loc.gov/vocabulary/preservation/eventType</t>
        </is>
      </c>
      <c r="E18" s="25" t="inlineStr">
        <is>
          <t>http://id.loc.gov/vocabulary/preservation/eventType/val</t>
        </is>
      </c>
      <c r="F18" s="25" t="inlineStr">
        <is>
          <t>DPM107</t>
        </is>
      </c>
      <c r="G18" s="25" t="inlineStr">
        <is>
          <t>validation, without attributes</t>
        </is>
      </c>
    </row>
    <row r="19" ht="15" customHeight="1" s="17">
      <c r="A19" s="25" t="inlineStr">
        <is>
          <t>eventType</t>
        </is>
      </c>
      <c r="B19" s="25" t="inlineStr">
        <is>
          <t>qualityReview</t>
        </is>
      </c>
      <c r="C19" s="25" t="inlineStr">
        <is>
          <t>local</t>
        </is>
      </c>
      <c r="D19" s="25" t="n"/>
      <c r="E19" s="25" t="n"/>
      <c r="F19" s="25" t="inlineStr">
        <is>
          <t>DPM108</t>
        </is>
      </c>
      <c r="G19" s="25" t="inlineStr">
        <is>
          <t>quality assurance</t>
        </is>
      </c>
    </row>
    <row r="20" ht="15" customHeight="1" s="17">
      <c r="A20" s="25" t="inlineStr">
        <is>
          <t>eventType</t>
        </is>
      </c>
      <c r="B20" s="25" t="inlineStr">
        <is>
          <t>format identification</t>
        </is>
      </c>
      <c r="C20" s="25" t="inlineStr">
        <is>
          <t>eventType</t>
        </is>
      </c>
      <c r="D20" s="25" t="inlineStr">
        <is>
          <t>http://id.loc.gov/vocabulary/preservation/eventType</t>
        </is>
      </c>
      <c r="E20" s="25" t="inlineStr">
        <is>
          <t>http://id.loc.gov/vocabulary/preservation/eventType/for</t>
        </is>
      </c>
      <c r="F20" s="25" t="inlineStr">
        <is>
          <t>DPM109</t>
        </is>
      </c>
      <c r="G20" s="25" t="inlineStr">
        <is>
          <t>format identification, without attributes</t>
        </is>
      </c>
    </row>
    <row r="21" ht="15" customHeight="1" s="17">
      <c r="A21" s="25" t="inlineStr">
        <is>
          <t>eventType</t>
        </is>
      </c>
      <c r="B21" s="25" t="inlineStr">
        <is>
          <t>creation</t>
        </is>
      </c>
      <c r="C21" s="25" t="inlineStr">
        <is>
          <t>eventType</t>
        </is>
      </c>
      <c r="D21" s="25" t="inlineStr">
        <is>
          <t>http://id.loc.gov/vocabulary/preservation/eventType</t>
        </is>
      </c>
      <c r="E21" s="25" t="inlineStr">
        <is>
          <t>http://id.loc.gov/vocabulary/preservation/eventType/cre</t>
        </is>
      </c>
      <c r="F21" s="25" t="inlineStr">
        <is>
          <t>DPM116</t>
        </is>
      </c>
      <c r="G21" s="25" t="inlineStr">
        <is>
          <t>absent</t>
        </is>
      </c>
    </row>
    <row r="22" ht="15" customHeight="1" s="17">
      <c r="A22" s="25" t="inlineStr">
        <is>
          <t>eventType</t>
        </is>
      </c>
      <c r="B22" s="25" t="inlineStr">
        <is>
          <t>metadata modification</t>
        </is>
      </c>
      <c r="C22" s="25" t="inlineStr">
        <is>
          <t>eventType</t>
        </is>
      </c>
      <c r="D22" s="25" t="inlineStr">
        <is>
          <t>http://id.loc.gov/vocabulary/preservation/eventType</t>
        </is>
      </c>
      <c r="E22" s="25" t="inlineStr">
        <is>
          <t>http://id.loc.gov/vocabulary/preservation/eventType/mem</t>
        </is>
      </c>
      <c r="F22" s="25" t="inlineStr">
        <is>
          <t>DPM110, DPM114</t>
        </is>
      </c>
      <c r="G22" s="25" t="inlineStr">
        <is>
          <t>absent</t>
        </is>
      </c>
    </row>
    <row r="23" ht="23.25" customHeight="1" s="17">
      <c r="A23" s="25" t="inlineStr">
        <is>
          <t>eventType</t>
        </is>
      </c>
      <c r="B23" s="25" t="inlineStr">
        <is>
          <t>information package creation</t>
        </is>
      </c>
      <c r="C23" s="25" t="inlineStr">
        <is>
          <t>eventType</t>
        </is>
      </c>
      <c r="D23" s="25" t="inlineStr">
        <is>
          <t>http://id.loc.gov/vocabulary/preservation/eventType</t>
        </is>
      </c>
      <c r="E23" s="25" t="inlineStr">
        <is>
          <t>http://id.loc.gov/vocabulary/preservation/eventType/ipc</t>
        </is>
      </c>
      <c r="F23" s="25" t="inlineStr">
        <is>
          <t>DPM111, DPM113</t>
        </is>
      </c>
      <c r="G23" s="25" t="inlineStr">
        <is>
          <t>absent</t>
        </is>
      </c>
    </row>
    <row r="24" ht="15" customHeight="1" s="17">
      <c r="A24" s="25" t="inlineStr">
        <is>
          <t>eventOutcome</t>
        </is>
      </c>
      <c r="B24" s="25" t="inlineStr">
        <is>
          <t>success</t>
        </is>
      </c>
      <c r="C24" s="25" t="inlineStr">
        <is>
          <t>eventOutcome</t>
        </is>
      </c>
      <c r="D24" s="25" t="inlineStr">
        <is>
          <t>http://id.loc.gov/vocabulary/preservation/eventOutcome</t>
        </is>
      </c>
      <c r="E24" s="25" t="inlineStr">
        <is>
          <t>http://id.loc.gov/vocabulary/preservation/eventOutcome/suc</t>
        </is>
      </c>
      <c r="F24" s="25" t="inlineStr">
        <is>
          <t>DPM7, DPM94</t>
        </is>
      </c>
      <c r="G24" s="25" t="inlineStr">
        <is>
          <t>pipeline statuses (e.g. STEP_3_VERAPDF_PASSED)</t>
        </is>
      </c>
    </row>
    <row r="25" ht="15" customHeight="1" s="17">
      <c r="A25" s="25" t="inlineStr">
        <is>
          <t>linkingAgentRole</t>
        </is>
      </c>
      <c r="B25" s="25" t="inlineStr">
        <is>
          <t>executing program</t>
        </is>
      </c>
      <c r="C25" s="25" t="inlineStr">
        <is>
          <t>eventRelatedAgentRole</t>
        </is>
      </c>
      <c r="D25" s="25" t="inlineStr">
        <is>
          <t>http://id.loc.gov/vocabulary/preservation/eventRelatedAgentRole</t>
        </is>
      </c>
      <c r="E25" s="25" t="inlineStr">
        <is>
          <t>http://id.loc.gov/vocabulary/preservation/eventRelatedAgentRole/exe</t>
        </is>
      </c>
      <c r="F25" s="25" t="inlineStr">
        <is>
          <t>DPM96</t>
        </is>
      </c>
      <c r="G25" s="25" t="inlineStr">
        <is>
          <t>executing program, without attributes</t>
        </is>
      </c>
    </row>
    <row r="26" ht="15" customHeight="1" s="17">
      <c r="A26" s="25" t="inlineStr">
        <is>
          <t>linkingAgentRole</t>
        </is>
      </c>
      <c r="B26" s="25" t="inlineStr">
        <is>
          <t>authorizer</t>
        </is>
      </c>
      <c r="C26" s="25" t="inlineStr">
        <is>
          <t>eventRelatedAgentRole</t>
        </is>
      </c>
      <c r="D26" s="25" t="inlineStr">
        <is>
          <t>http://id.loc.gov/vocabulary/preservation/eventRelatedAgentRole</t>
        </is>
      </c>
      <c r="E26" s="25" t="inlineStr">
        <is>
          <t>http://id.loc.gov/vocabulary/preservation/eventRelatedAgentRole/aut</t>
        </is>
      </c>
      <c r="F26" s="25" t="inlineStr">
        <is>
          <t>DPM96</t>
        </is>
      </c>
      <c r="G26" s="25" t="inlineStr">
        <is>
          <t>absent</t>
        </is>
      </c>
    </row>
    <row r="27" ht="15" customHeight="1" s="17">
      <c r="A27" s="25" t="inlineStr">
        <is>
          <t>linkingAgentRole</t>
        </is>
      </c>
      <c r="B27" s="25" t="inlineStr">
        <is>
          <t>implementer</t>
        </is>
      </c>
      <c r="C27" s="25" t="inlineStr">
        <is>
          <t>eventRelatedAgentRole</t>
        </is>
      </c>
      <c r="D27" s="25" t="inlineStr">
        <is>
          <t>http://id.loc.gov/vocabulary/preservation/eventRelatedAgentRole</t>
        </is>
      </c>
      <c r="E27" s="25" t="inlineStr">
        <is>
          <t>http://id.loc.gov/vocabulary/preservation/eventRelatedAgentRole/imp</t>
        </is>
      </c>
      <c r="F27" s="25" t="inlineStr">
        <is>
          <t>DPM96, DPM108, DPM114</t>
        </is>
      </c>
      <c r="G27" s="25" t="inlineStr">
        <is>
          <t>absent (none required in this file)</t>
        </is>
      </c>
    </row>
    <row r="28" ht="15" customHeight="1" s="17">
      <c r="A28" s="25" t="inlineStr">
        <is>
          <t>linkingObjectRole</t>
        </is>
      </c>
      <c r="B28" s="25" t="inlineStr">
        <is>
          <t>source</t>
        </is>
      </c>
      <c r="C28" s="25" t="inlineStr">
        <is>
          <t>eventRelatedObjectRole</t>
        </is>
      </c>
      <c r="D28" s="25" t="inlineStr">
        <is>
          <t>http://id.loc.gov/vocabulary/preservation/eventRelatedObjectRole</t>
        </is>
      </c>
      <c r="E28" s="25" t="inlineStr">
        <is>
          <t>http://id.loc.gov/vocabulary/preservation/eventRelatedObjectRole/sou</t>
        </is>
      </c>
      <c r="F28" s="25" t="inlineStr">
        <is>
          <t>DPM99</t>
        </is>
      </c>
      <c r="G28" s="25" t="inlineStr">
        <is>
          <t>absent</t>
        </is>
      </c>
    </row>
    <row r="29" ht="15" customHeight="1" s="17">
      <c r="A29" s="25" t="inlineStr">
        <is>
          <t>linkingObjectRole</t>
        </is>
      </c>
      <c r="B29" s="25" t="inlineStr">
        <is>
          <t>outcome</t>
        </is>
      </c>
      <c r="C29" s="25" t="inlineStr">
        <is>
          <t>eventRelatedObjectRole</t>
        </is>
      </c>
      <c r="D29" s="25" t="inlineStr">
        <is>
          <t>http://id.loc.gov/vocabulary/preservation/eventRelatedObjectRole</t>
        </is>
      </c>
      <c r="E29" s="25" t="inlineStr">
        <is>
          <t>http://id.loc.gov/vocabulary/preservation/eventRelatedObjectRole/out</t>
        </is>
      </c>
      <c r="F29" s="25" t="inlineStr">
        <is>
          <t>DPM99</t>
        </is>
      </c>
      <c r="G29" s="25" t="inlineStr">
        <is>
          <t>absent</t>
        </is>
      </c>
    </row>
    <row r="30" ht="15" customHeight="1" s="17">
      <c r="A30" s="25" t="inlineStr">
        <is>
          <t>agentType</t>
        </is>
      </c>
      <c r="B30" s="25" t="inlineStr">
        <is>
          <t>software</t>
        </is>
      </c>
      <c r="C30" s="25" t="inlineStr">
        <is>
          <t>agentType</t>
        </is>
      </c>
      <c r="D30" s="25" t="inlineStr">
        <is>
          <t>http://id.loc.gov/vocabulary/preservation/agentType</t>
        </is>
      </c>
      <c r="E30" s="25" t="inlineStr">
        <is>
          <t>http://id.loc.gov/vocabulary/preservation/agentType/sof</t>
        </is>
      </c>
      <c r="F30" s="25" t="inlineStr">
        <is>
          <t>DPM83</t>
        </is>
      </c>
      <c r="G30" s="25" t="inlineStr">
        <is>
          <t>software, without attributes</t>
        </is>
      </c>
    </row>
    <row r="31" ht="15" customHeight="1" s="17">
      <c r="A31" s="25" t="inlineStr">
        <is>
          <t>agentType</t>
        </is>
      </c>
      <c r="B31" s="25" t="inlineStr">
        <is>
          <t>person</t>
        </is>
      </c>
      <c r="C31" s="25" t="inlineStr">
        <is>
          <t>agentType</t>
        </is>
      </c>
      <c r="D31" s="25" t="inlineStr">
        <is>
          <t>http://id.loc.gov/vocabulary/preservation/agentType</t>
        </is>
      </c>
      <c r="E31" s="25" t="inlineStr">
        <is>
          <t>http://id.loc.gov/vocabulary/preservation/agentType/per</t>
        </is>
      </c>
      <c r="F31" s="25" t="inlineStr">
        <is>
          <t>DPM83</t>
        </is>
      </c>
      <c r="G31" s="25" t="inlineStr">
        <is>
          <t>absent (no operator agent)</t>
        </is>
      </c>
    </row>
    <row r="32" ht="15" customHeight="1" s="17">
      <c r="A32" s="25" t="inlineStr">
        <is>
          <t>agentType</t>
        </is>
      </c>
      <c r="B32" s="25" t="inlineStr">
        <is>
          <t>organization</t>
        </is>
      </c>
      <c r="C32" s="25" t="inlineStr">
        <is>
          <t>agentType</t>
        </is>
      </c>
      <c r="D32" s="25" t="inlineStr">
        <is>
          <t>http://id.loc.gov/vocabulary/preservation/agentType</t>
        </is>
      </c>
      <c r="E32" s="25" t="inlineStr">
        <is>
          <t>http://id.loc.gov/vocabulary/preservation/agentType/org</t>
        </is>
      </c>
      <c r="F32" s="25" t="inlineStr">
        <is>
          <t>DPM83</t>
        </is>
      </c>
      <c r="G32" s="25" t="inlineStr">
        <is>
          <t>not used in this file</t>
        </is>
      </c>
    </row>
  </sheetData>
  <autoFilter ref="A1:G3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6" min="1" max="1"/>
    <col width="58" customWidth="1" style="16" min="2" max="2"/>
    <col width="72" customWidth="1" style="16" min="3" max="3"/>
    <col width="34" customWidth="1" style="16" min="4" max="5"/>
    <col width="22" customWidth="1" style="16" min="6" max="6"/>
    <col width="80" customWidth="1" style="16" min="7" max="7"/>
  </cols>
  <sheetData>
    <row r="1" ht="15" customHeight="1" s="17">
      <c r="A1" s="21" t="inlineStr">
        <is>
          <t>Scheme</t>
        </is>
      </c>
      <c r="B1" s="21" t="inlineStr">
        <is>
          <t>Scheme URI (@authorityURI)</t>
        </is>
      </c>
      <c r="C1" s="21" t="inlineStr">
        <is>
          <t>LoC page</t>
        </is>
      </c>
      <c r="D1" s="21" t="inlineStr">
        <is>
          <t>Used in</t>
        </is>
      </c>
      <c r="E1" s="21" t="inlineStr">
        <is>
          <t>Profile vocabulary</t>
        </is>
      </c>
      <c r="F1" s="21" t="inlineStr">
        <is>
          <t>Checked</t>
        </is>
      </c>
      <c r="G1" s="21" t="inlineStr">
        <is>
          <t>Notes</t>
        </is>
      </c>
    </row>
    <row r="2" ht="15" customHeight="1" s="17">
      <c r="A2" s="25" t="inlineStr">
        <is>
          <t>Cryptographic Hash Functions</t>
        </is>
      </c>
      <c r="B2" s="25" t="inlineStr">
        <is>
          <t>http://id.loc.gov/vocabulary/preservation/cryptographicHashFunctions</t>
        </is>
      </c>
      <c r="C2" s="28" t="inlineStr">
        <is>
          <t>https://id.loc.gov/vocabulary/preservation/cryptographicHashFunctions.html</t>
        </is>
      </c>
      <c r="D2" s="25" t="inlineStr">
        <is>
          <t>messageDigestAlgorithm</t>
        </is>
      </c>
      <c r="E2" s="25" t="inlineStr">
        <is>
          <t>vocPREMISHashFunction</t>
        </is>
      </c>
      <c r="F2" s="25" t="inlineStr">
        <is>
          <t>2026-10-12</t>
        </is>
      </c>
      <c r="G2" s="25" t="inlineStr">
        <is>
          <t>SHA-512 matches; @valueURI code is sha512 (not a three-letter code).</t>
        </is>
      </c>
    </row>
    <row r="3" ht="23.25" customHeight="1" s="17">
      <c r="A3" s="25" t="inlineStr">
        <is>
          <t>Format Registry Role</t>
        </is>
      </c>
      <c r="B3" s="25" t="inlineStr">
        <is>
          <t>http://id.loc.gov/vocabulary/preservation/formatRegistryRole</t>
        </is>
      </c>
      <c r="C3" s="28" t="inlineStr">
        <is>
          <t>https://id.loc.gov/vocabulary/preservation/formatRegistryRole.html</t>
        </is>
      </c>
      <c r="D3" s="25" t="inlineStr">
        <is>
          <t>formatRegistryRole</t>
        </is>
      </c>
      <c r="E3" s="25" t="inlineStr">
        <is>
          <t>vocPREMISFormatRegistry</t>
        </is>
      </c>
      <c r="F3" s="25" t="inlineStr">
        <is>
          <t>2026-10-12</t>
        </is>
      </c>
      <c r="G3" s="25" t="inlineStr">
        <is>
          <t>specification (…/spe) matches. validation profile (…/val) exists and is not used: validation is recorded by the conformance validation event (DPM107), not as a registry role (DPM56).</t>
        </is>
      </c>
    </row>
    <row r="4" ht="15" customHeight="1" s="17">
      <c r="A4" s="25" t="inlineStr">
        <is>
          <t>Relationship Type</t>
        </is>
      </c>
      <c r="B4" s="25" t="inlineStr">
        <is>
          <t>http://id.loc.gov/vocabulary/preservation/relationshipType</t>
        </is>
      </c>
      <c r="C4" s="28" t="inlineStr">
        <is>
          <t>https://id.loc.gov/vocabulary/preservation/relationshipType.html</t>
        </is>
      </c>
      <c r="D4" s="25" t="inlineStr">
        <is>
          <t>relationshipType</t>
        </is>
      </c>
      <c r="E4" s="25" t="inlineStr">
        <is>
          <t>vocPREMISRelationship</t>
        </is>
      </c>
      <c r="F4" s="25" t="inlineStr">
        <is>
          <t>2026-10-12</t>
        </is>
      </c>
      <c r="G4" s="25" t="inlineStr">
        <is>
          <t>structural, derivation, dependency match. logical, reference and replacement are not used.</t>
        </is>
      </c>
    </row>
    <row r="5" ht="23.25" customHeight="1" s="17">
      <c r="A5" s="25" t="inlineStr">
        <is>
          <t>Relationship Subtype</t>
        </is>
      </c>
      <c r="B5" s="25" t="inlineStr">
        <is>
          <t>http://id.loc.gov/vocabulary/preservation/relationshipSubType</t>
        </is>
      </c>
      <c r="C5" s="28" t="inlineStr">
        <is>
          <t>https://id.loc.gov/vocabulary/preservation/relationshipSubType.html</t>
        </is>
      </c>
      <c r="D5" s="25" t="inlineStr">
        <is>
          <t>relationshipSubType</t>
        </is>
      </c>
      <c r="E5" s="25" t="inlineStr">
        <is>
          <t>vocPREMISRelationship</t>
        </is>
      </c>
      <c r="F5" s="25" t="inlineStr">
        <is>
          <t>2026-10-12</t>
        </is>
      </c>
      <c r="G5" s="25" t="inlineStr">
        <is>
          <t>Authorised labels: includes, is Included In, has Source. The profile writes them as authorised (v0.4; F058). The PoC writes is part of, an LoC term (is Part Of, …/isp) the profile does not use.</t>
        </is>
      </c>
    </row>
    <row r="6" ht="34.5" customHeight="1" s="17">
      <c r="A6" s="25" t="inlineStr">
        <is>
          <t>Event Type</t>
        </is>
      </c>
      <c r="B6" s="25" t="inlineStr">
        <is>
          <t>http://id.loc.gov/vocabulary/preservation/eventType</t>
        </is>
      </c>
      <c r="C6" s="28" t="inlineStr">
        <is>
          <t>https://id.loc.gov/vocabulary/preservation/eventType.html</t>
        </is>
      </c>
      <c r="D6" s="25" t="inlineStr">
        <is>
          <t>eventType</t>
        </is>
      </c>
      <c r="E6" s="25" t="inlineStr">
        <is>
          <t>vocPREMISEventType</t>
        </is>
      </c>
      <c r="F6" s="25" t="inlineStr">
        <is>
          <t>2026-10-12</t>
        </is>
      </c>
      <c r="G6" s="25" t="inlineStr">
        <is>
          <t>All ten LoC types the profile uses match, creation (…/cre) for DPM116 among them. No LoC term for a fidelity or quality review: qualityReview (DPM108) stays local. The PoC writes ingestion (…/ing), an LoC term the profile does not use.</t>
        </is>
      </c>
    </row>
    <row r="7" ht="23.25" customHeight="1" s="17">
      <c r="A7" s="25" t="inlineStr">
        <is>
          <t>Event Outcome</t>
        </is>
      </c>
      <c r="B7" s="25" t="inlineStr">
        <is>
          <t>http://id.loc.gov/vocabulary/preservation/eventOutcome</t>
        </is>
      </c>
      <c r="C7" s="28" t="inlineStr">
        <is>
          <t>https://id.loc.gov/vocabulary/preservation/eventOutcome.html</t>
        </is>
      </c>
      <c r="D7" s="25" t="inlineStr">
        <is>
          <t>eventOutcome</t>
        </is>
      </c>
      <c r="E7" s="25" t="inlineStr">
        <is>
          <t>vocPREMISEventOutcome</t>
        </is>
      </c>
      <c r="F7" s="25" t="inlineStr">
        <is>
          <t>2026-10-12</t>
        </is>
      </c>
      <c r="G7" s="25" t="inlineStr">
        <is>
          <t>success (…/suc) matches. fail (…/fai) and warning (…/war) exist and are not used: only success is written (DPM7).</t>
        </is>
      </c>
    </row>
    <row r="8" ht="23.25" customHeight="1" s="17">
      <c r="A8" s="25" t="inlineStr">
        <is>
          <t>Event Related Agent Role</t>
        </is>
      </c>
      <c r="B8" s="25" t="inlineStr">
        <is>
          <t>http://id.loc.gov/vocabulary/preservation/eventRelatedAgentRole</t>
        </is>
      </c>
      <c r="C8" s="28" t="inlineStr">
        <is>
          <t>https://id.loc.gov/vocabulary/preservation/eventRelatedAgentRole.html</t>
        </is>
      </c>
      <c r="D8" s="25" t="inlineStr">
        <is>
          <t>linkingAgentRole</t>
        </is>
      </c>
      <c r="E8" s="25" t="inlineStr">
        <is>
          <t>vocPREMISLinkingRole</t>
        </is>
      </c>
      <c r="F8" s="25" t="inlineStr">
        <is>
          <t>2026-10-12</t>
        </is>
      </c>
      <c r="G8" s="25" t="inlineStr">
        <is>
          <t>Replaces the deprecated Linking Agent Role (Event). executing program, authorizer, implementer match. validator (…/val) exists and is not used: veraPDF is linked as executing program.</t>
        </is>
      </c>
    </row>
    <row r="9" ht="15" customHeight="1" s="17">
      <c r="A9" s="25" t="inlineStr">
        <is>
          <t>Event Related Object Role</t>
        </is>
      </c>
      <c r="B9" s="25" t="inlineStr">
        <is>
          <t>http://id.loc.gov/vocabulary/preservation/eventRelatedObjectRole</t>
        </is>
      </c>
      <c r="C9" s="28" t="inlineStr">
        <is>
          <t>https://id.loc.gov/vocabulary/preservation/eventRelatedObjectRole.html</t>
        </is>
      </c>
      <c r="D9" s="25" t="inlineStr">
        <is>
          <t>linkingObjectRole</t>
        </is>
      </c>
      <c r="E9" s="25" t="inlineStr">
        <is>
          <t>vocPREMISLinkingRole</t>
        </is>
      </c>
      <c r="F9" s="25" t="inlineStr">
        <is>
          <t>2026-10-12</t>
        </is>
      </c>
      <c r="G9" s="25" t="inlineStr">
        <is>
          <t>source and outcome match.</t>
        </is>
      </c>
    </row>
    <row r="10" ht="23.25" customHeight="1" s="17">
      <c r="A10" s="25" t="inlineStr">
        <is>
          <t>Agent Type</t>
        </is>
      </c>
      <c r="B10" s="25" t="inlineStr">
        <is>
          <t>http://id.loc.gov/vocabulary/preservation/agentType</t>
        </is>
      </c>
      <c r="C10" s="28" t="inlineStr">
        <is>
          <t>https://id.loc.gov/vocabulary/preservation/agentType.html</t>
        </is>
      </c>
      <c r="D10" s="25" t="inlineStr">
        <is>
          <t>agentType</t>
        </is>
      </c>
      <c r="E10" s="25" t="inlineStr">
        <is>
          <t>vocPREMISAgentType</t>
        </is>
      </c>
      <c r="F10" s="25" t="inlineStr">
        <is>
          <t>2026-10-12</t>
        </is>
      </c>
      <c r="G10" s="25" t="inlineStr">
        <is>
          <t>software (…/sof), person (…/per) and organization (…/org) match. hardware (…/har) is not used.</t>
        </is>
      </c>
    </row>
    <row r="11" ht="23.25" customHeight="1" s="17">
      <c r="A11" s="25" t="inlineStr">
        <is>
          <t>Object Category</t>
        </is>
      </c>
      <c r="B11" s="25" t="inlineStr">
        <is>
          <t>http://id.loc.gov/vocabulary/preservation/objectCategory</t>
        </is>
      </c>
      <c r="C11" s="28" t="inlineStr">
        <is>
          <t>https://id.loc.gov/vocabulary/preservation/objectCategory.html</t>
        </is>
      </c>
      <c r="D11" s="25" t="inlineStr">
        <is>
          <t>object/@xsi:type (schema type, not written as a value)</t>
        </is>
      </c>
      <c r="E11" s="25" t="inlineStr">
        <is>
          <t>vocPREMISObjectCategory</t>
        </is>
      </c>
      <c r="F11" s="25" t="inlineStr">
        <is>
          <t>2026-10-12</t>
        </is>
      </c>
      <c r="G11" s="25" t="inlineStr">
        <is>
          <t>Not written as a value: the category is encoded as the schema type in object/@xsi:type (intellectualEntity, representation, file). The LoC labels are intellectual entity (…/int), representation (…/rep), file (…/fil) and bitstream (…/bit); bitstream is not used.</t>
        </is>
      </c>
    </row>
    <row r="12" ht="23.25" customHeight="1" s="17">
      <c r="A12" s="25" t="inlineStr">
        <is>
          <t>Linking Agent Role (Event) — DEPRECATED</t>
        </is>
      </c>
      <c r="B12" s="25" t="inlineStr">
        <is>
          <t>http://id.loc.gov/vocabulary/preservation/linkingAgentRoleEvent</t>
        </is>
      </c>
      <c r="C12" s="28" t="inlineStr">
        <is>
          <t>https://id.loc.gov/vocabulary/preservation/linkingAgentRoleEvent.html</t>
        </is>
      </c>
      <c r="D12" s="25" t="inlineStr">
        <is>
          <t>— (do not use)</t>
        </is>
      </c>
      <c r="E12" s="25" t="inlineStr">
        <is>
          <t>—</t>
        </is>
      </c>
      <c r="F12" s="25" t="inlineStr">
        <is>
          <t>2026-10-12</t>
        </is>
      </c>
      <c r="G12" s="25" t="inlineStr">
        <is>
          <t>Deprecated by LoC; use Event Related Agent Role. Older PREMIS examples still cite it.</t>
        </is>
      </c>
    </row>
    <row r="13" ht="23.25" customHeight="1" s="17">
      <c r="A13" s="25" t="inlineStr">
        <is>
          <t>Local terms</t>
        </is>
      </c>
      <c r="B13" s="25" t="inlineStr">
        <is>
          <t>— (namespace pending)</t>
        </is>
      </c>
      <c r="C13" s="25" t="n"/>
      <c r="D13" s="25" t="inlineStr">
        <is>
          <t>eventType, relationshipSubType</t>
        </is>
      </c>
      <c r="E13" s="25" t="inlineStr">
        <is>
          <t>vocPREMISEventType, vocPREMISRelationship</t>
        </is>
      </c>
      <c r="F13" s="25" t="inlineStr">
        <is>
          <t>—</t>
        </is>
      </c>
      <c r="G13" s="25" t="inlineStr">
        <is>
          <t>qualityReview; isValidationReportOf, isQaReportOf, isConversionLogOf. Written with @authority="local" only (open item: Local term namespace).</t>
        </is>
      </c>
    </row>
    <row r="14" ht="15" customHeight="1" s="17">
      <c r="A14" s="25" t="inlineStr">
        <is>
          <t>PRONOM</t>
        </is>
      </c>
      <c r="B14" s="25" t="inlineStr">
        <is>
          <t>https://www.nationalarchives.gov.uk/PRONOM/</t>
        </is>
      </c>
      <c r="C14" s="28" t="inlineStr">
        <is>
          <t>https://www.nationalarchives.gov.uk/PRONOM/</t>
        </is>
      </c>
      <c r="D14" s="25" t="inlineStr">
        <is>
          <t>formatRegistryName, formatRegistryKey</t>
        </is>
      </c>
      <c r="E14" s="25" t="inlineStr">
        <is>
          <t>vocPREMISFormatRegistry</t>
        </is>
      </c>
      <c r="F14" s="25" t="inlineStr">
        <is>
          <t>—</t>
        </is>
      </c>
      <c r="G14" s="25" t="inlineStr">
        <is>
          <t>Not an LoC vocabulary: registry name PRONOM and the PUIDs DROID reports.</t>
        </is>
      </c>
    </row>
  </sheetData>
  <autoFilter ref="A1:G14"/>
  <hyperlinks>
    <hyperlink xmlns:r="http://schemas.openxmlformats.org/officeDocument/2006/relationships" ref="C2" display="https://id.loc.gov/vocabulary/preservation/cryptographicHashFunctions.html" r:id="rId1"/>
    <hyperlink xmlns:r="http://schemas.openxmlformats.org/officeDocument/2006/relationships" ref="C3" display="https://id.loc.gov/vocabulary/preservation/formatRegistryRole.html" r:id="rId2"/>
    <hyperlink xmlns:r="http://schemas.openxmlformats.org/officeDocument/2006/relationships" ref="C4" display="https://id.loc.gov/vocabulary/preservation/relationshipType.html" r:id="rId3"/>
    <hyperlink xmlns:r="http://schemas.openxmlformats.org/officeDocument/2006/relationships" ref="C5" display="https://id.loc.gov/vocabulary/preservation/relationshipSubType.html" r:id="rId4"/>
    <hyperlink xmlns:r="http://schemas.openxmlformats.org/officeDocument/2006/relationships" ref="C6" display="https://id.loc.gov/vocabulary/preservation/eventType.html" r:id="rId5"/>
    <hyperlink xmlns:r="http://schemas.openxmlformats.org/officeDocument/2006/relationships" ref="C7" display="https://id.loc.gov/vocabulary/preservation/eventOutcome.html" r:id="rId6"/>
    <hyperlink xmlns:r="http://schemas.openxmlformats.org/officeDocument/2006/relationships" ref="C8" display="https://id.loc.gov/vocabulary/preservation/eventRelatedAgentRole.html" r:id="rId7"/>
    <hyperlink xmlns:r="http://schemas.openxmlformats.org/officeDocument/2006/relationships" ref="C9" display="https://id.loc.gov/vocabulary/preservation/eventRelatedObjectRole.html" r:id="rId8"/>
    <hyperlink xmlns:r="http://schemas.openxmlformats.org/officeDocument/2006/relationships" ref="C10" display="https://id.loc.gov/vocabulary/preservation/agentType.html" r:id="rId9"/>
    <hyperlink xmlns:r="http://schemas.openxmlformats.org/officeDocument/2006/relationships" ref="C11" display="https://id.loc.gov/vocabulary/preservation/objectCategory.html" r:id="rId10"/>
    <hyperlink xmlns:r="http://schemas.openxmlformats.org/officeDocument/2006/relationships" ref="C12" display="https://id.loc.gov/vocabulary/preservation/linkingAgentRoleEvent.html" r:id="rId11"/>
    <hyperlink xmlns:r="http://schemas.openxmlformats.org/officeDocument/2006/relationships" ref="C14" display="https://www.nationalarchives.gov.uk/PRONOM/"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6" min="1" max="1"/>
    <col width="16" customWidth="1" style="16" min="2" max="4"/>
    <col width="13" customWidth="1" style="16" min="5" max="7"/>
  </cols>
  <sheetData>
    <row r="1" ht="18.75" customHeight="1" s="17">
      <c r="A1" s="21" t="inlineStr">
        <is>
          <t>Fact</t>
        </is>
      </c>
      <c r="B1" s="21" t="inlineStr">
        <is>
          <t>Layer</t>
        </is>
      </c>
      <c r="C1" s="21" t="inlineStr">
        <is>
          <t>Meaning</t>
        </is>
      </c>
      <c r="D1" s="21" t="inlineStr">
        <is>
          <t>Expected (profile v0.4)</t>
        </is>
      </c>
      <c r="E1" s="21" t="inlineStr">
        <is>
          <t>v1</t>
        </is>
      </c>
      <c r="F1" s="21" t="inlineStr">
        <is>
          <t>v2</t>
        </is>
      </c>
      <c r="G1" s="21" t="inlineStr">
        <is>
          <t>v3</t>
        </is>
      </c>
    </row>
    <row r="2" ht="63.75" customHeight="1" s="17">
      <c r="A2" s="27" t="inlineStr">
        <is>
          <t>Committed (inventory created)</t>
        </is>
      </c>
      <c r="B2" s="25" t="inlineStr">
        <is>
          <t>OCFL inventory</t>
        </is>
      </c>
      <c r="C2" s="25" t="inlineStr">
        <is>
          <t>When the version was written into the OCFL object: versions/vN/created in the root inventory.json, UTC. The commit is recorded only here, not in PREMIS.</t>
        </is>
      </c>
      <c r="D2" s="25" t="inlineStr">
        <is>
          <t>RFC 3339, UTC with Z (DPM14); no earlier than the eventDateTime of the version's AIP creation event (DPM113). Conforms in form; the time check is not possible, as the event is absent (F050).</t>
        </is>
      </c>
      <c r="E2" s="25" t="inlineStr">
        <is>
          <t>2026-10-09T13:10:59Z</t>
        </is>
      </c>
      <c r="F2" s="25" t="inlineStr">
        <is>
          <t>2026-10-09T13:12:36Z</t>
        </is>
      </c>
      <c r="G2" s="25" t="inlineStr">
        <is>
          <t>2026-10-09T13:14:13Z</t>
        </is>
      </c>
    </row>
    <row r="3" ht="93.75" customHeight="1" s="17">
      <c r="A3" s="27" t="inlineStr">
        <is>
          <t>Inventory message</t>
        </is>
      </c>
      <c r="B3" s="25" t="inlineStr">
        <is>
          <t>OCFL inventory</t>
        </is>
      </c>
      <c r="C3" s="25" t="inlineStr">
        <is>
          <t>The commit message: versions/vN/message in inventory.json.</t>
        </is>
      </c>
      <c r="D3" s="25" t="inlineStr">
        <is>
          <t>Selection basis, a space, an em dash, a space and a short description (DPM14), the basis equal to selection_basis on SIP creation (DPM111). Inferred from the package: v1 new_document — initial ingest (es); v2 language_added — French added (fr); v3 language_added — English added (en). See the inventory review, deviation 4.</t>
        </is>
      </c>
      <c r="E3" s="25" t="inlineStr">
        <is>
          <t>Initial preservation ingest from verified BagIt SIP</t>
        </is>
      </c>
      <c r="F3" s="25" t="inlineStr">
        <is>
          <t>Preservation update from verified BagIt SIP</t>
        </is>
      </c>
      <c r="G3" s="25" t="inlineStr">
        <is>
          <t>Preservation update from verified BagIt SIP</t>
        </is>
      </c>
    </row>
    <row r="4" ht="78.75" customHeight="1" s="17">
      <c r="A4" s="27" t="inlineStr">
        <is>
          <t>Inventory user/name</t>
        </is>
      </c>
      <c r="B4" s="25" t="inlineStr">
        <is>
          <t>OCFL inventory</t>
        </is>
      </c>
      <c r="C4" s="25" t="inlineStr">
        <is>
          <t>Who committed the version: versions/vN/user/name in inventory.json.</t>
        </is>
      </c>
      <c r="D4" s="25" t="inlineStr">
        <is>
          <t>The person who authorised the commit: the authorizer of the version's AIP creation event (DPM113), as named in the agent registry (DPM14). Conforms in form; agreement with PREMIS cannot be checked, as PREMIS has no AIP creation event and no person agent.</t>
        </is>
      </c>
      <c r="E4" s="25" t="inlineStr">
        <is>
          <t>Eric Gao</t>
        </is>
      </c>
      <c r="F4" s="25" t="inlineStr">
        <is>
          <t>Eric Gao</t>
        </is>
      </c>
      <c r="G4" s="25" t="inlineStr">
        <is>
          <t>Eric Gao</t>
        </is>
      </c>
    </row>
    <row r="5" ht="33.75" customHeight="1" s="17">
      <c r="A5" s="27" t="inlineStr">
        <is>
          <t>Inventory user/address</t>
        </is>
      </c>
      <c r="B5" s="25" t="inlineStr">
        <is>
          <t>OCFL inventory</t>
        </is>
      </c>
      <c r="C5" s="25" t="inlineStr">
        <is>
          <t>versions/vN/user/address in inventory.json. 'absent' means the key is not in the inventory.</t>
        </is>
      </c>
      <c r="D5" s="25" t="inlineStr">
        <is>
          <t>A mailto: URI with the authorizer's e-mail address, as registered in the agent registry (DPM14; OCFL 1.1 §3.5.3.1).</t>
        </is>
      </c>
      <c r="E5" s="25" t="inlineStr">
        <is>
          <t>absent</t>
        </is>
      </c>
      <c r="F5" s="25" t="inlineStr">
        <is>
          <t>absent</t>
        </is>
      </c>
      <c r="G5" s="25" t="inlineStr">
        <is>
          <t>absent</t>
        </is>
      </c>
    </row>
    <row r="6" ht="63.75" customHeight="1" s="17">
      <c r="A6" s="27" t="inlineStr">
        <is>
          <t>Languages held</t>
        </is>
      </c>
      <c r="B6" s="25" t="inlineStr">
        <is>
          <t>OCFL inventory</t>
        </is>
      </c>
      <c r="C6" s="25" t="inlineStr">
        <is>
          <t>The languages present in the version, derived from the paths under representations/ in that version's state. Each version holds every language received so far, not only the new one.</t>
        </is>
      </c>
      <c r="D6" s="25" t="inlineStr">
        <is>
          <t>Recorded on SIP creation (DPM111) as languages: es (v1), es, fr (v2), en, es, fr (v3). The event is absent in v1 (F049) and again in v2 and v3 (F064), so the inventory is the only source; once it is written, the two must agree.</t>
        </is>
      </c>
      <c r="E6" s="25" t="inlineStr">
        <is>
          <t>es</t>
        </is>
      </c>
      <c r="F6" s="25" t="inlineStr">
        <is>
          <t>es, fr</t>
        </is>
      </c>
      <c r="G6" s="25" t="inlineStr">
        <is>
          <t>en, es, fr</t>
        </is>
      </c>
    </row>
    <row r="7" ht="123.75" customHeight="1" s="17">
      <c r="A7" s="27" t="inlineStr">
        <is>
          <t>Files added (incl. PREMIS and METS in v1)</t>
        </is>
      </c>
      <c r="B7" s="25" t="inlineStr">
        <is>
          <t>OCFL inventory</t>
        </is>
      </c>
      <c r="C7" s="25" t="inlineStr">
        <is>
          <t>Number of logical paths in this version's state that were not in the previous version's state: new files at new paths. In v1 every file is new, including the PREMIS and METS files.</t>
        </is>
      </c>
      <c r="D7" s="25" t="inlineStr">
        <is>
          <t>v1: 9 — the DOCX, master, DOME, conversion log, veraPDF report, QA report and DROID report, plus PREMIS and METS. v2 and v3: 5 each — the new language's DOCX, master, conversion log, veraPDF and QA reports; 6 if the DROID report takes a versioned name (row 8). The published PDF is described, not held (DPM40). v1 holds one more, dome_sql_extraction.json (F026; Workflow W09). PREMIS and METS are held in OCFL and counted here like any file. In premis.xml, each other added file is described by a file object with a new UUID (DPM8, DPM36); PREMIS and METS are not, their fixity being recorded in the inventory only (DPM12).</t>
        </is>
      </c>
      <c r="E7" s="25" t="n">
        <v>10</v>
      </c>
      <c r="F7" s="25" t="n">
        <v>5</v>
      </c>
      <c r="G7" s="25" t="n">
        <v>5</v>
      </c>
    </row>
    <row r="8" ht="153.75" customHeight="1" s="17">
      <c r="A8" s="27" t="inlineStr">
        <is>
          <t>Files changed at an existing path (incl. PREMIS and METS)</t>
        </is>
      </c>
      <c r="B8" s="25" t="inlineStr">
        <is>
          <t>OCFL inventory</t>
        </is>
      </c>
      <c r="C8" s="25" t="inlineStr">
        <is>
          <t>Number of logical paths present in both this and the previous version whose bytes changed (different SHA-512). Includes the PREMIS and METS files.</t>
        </is>
      </c>
      <c r="D8" s="25" t="inlineStr">
        <is>
          <t>Under language_added, only the PREMIS and METS files (DPM11), DOME (which lists the files of each language) and the DROID report, while it keeps one path, change at an existing path: 4 in v2 and in v3. If the report takes a versioned name, as the profile's Open item DROID report proposes ({JOB_ID}_ff_droid_v{N}.csv), it counts as added instead (row 7: 6 in v2 and v3) and the expected number here drops to 3. Each rewritten DOME is recorded by a descriptive metadata revision event (DPM110), linking the new DOME as outcome and the previous one as source; absent in v2 and v3 (F067). A changed file is a new file object with a new UUID, and the old one stays described (DPM4, DPM8; F061).</t>
        </is>
      </c>
      <c r="E8" s="25" t="n">
        <v>0</v>
      </c>
      <c r="F8" s="25" t="n">
        <v>9</v>
      </c>
      <c r="G8" s="25" t="n">
        <v>13</v>
      </c>
    </row>
    <row r="9" ht="123.75" customHeight="1" s="17">
      <c r="A9" s="27" t="inlineStr">
        <is>
          <t>Masters re-created from an unchanged published PDF</t>
        </is>
      </c>
      <c r="B9" s="25" t="inlineStr">
        <is>
          <t>OCFL inventory; QA report</t>
        </is>
      </c>
      <c r="C9" s="25" t="inlineStr">
        <is>
          <t>Languages whose PDF/A master changed in this version although its source did not. The published PDF is not held (DPM40), so its digest is read from two run records that hash the _src working copy: the QA report (source.sha512: es 9986bff4… in v1–v3, fr b2563a60… in v2–v3) and the DROID export (SHA256_HASH: es 3e1575eb…, fr ba6423a4…, unchanged likewise). Neither is a digest of the file in DOL itself.</t>
        </is>
      </c>
      <c r="D9" s="25" t="inlineStr">
        <is>
          <t>None, except in a master_reconversion version (DPM40, DPM106): a master is otherwise re-created only when its published PDF changes. Once DPM40 is written and PREMIS is appended, this is read from PREMIS: a new master whose has Source points to a published PDF object already described in the predecessor was re-created from an unchanged source, and is accepted only with supersedes and reason on its normalisation (DPM12 (c)). F062, F013.</t>
        </is>
      </c>
      <c r="E9" s="25" t="inlineStr">
        <is>
          <t>—</t>
        </is>
      </c>
      <c r="F9" s="25" t="inlineStr">
        <is>
          <t>es</t>
        </is>
      </c>
      <c r="G9" s="25" t="inlineStr">
        <is>
          <t>es, fr</t>
        </is>
      </c>
    </row>
    <row r="10" ht="198.75" customHeight="1" s="17">
      <c r="A10" s="27" t="inlineStr">
        <is>
          <t>PREMIS objects</t>
        </is>
      </c>
      <c r="B10" s="25" t="inlineStr">
        <is>
          <t>PREMIS</t>
        </is>
      </c>
      <c r="C10" s="25" t="inlineStr">
        <is>
          <t>Number of object elements in this version's premis.xml (intellectual entity, representations and files as written by the PoC).</t>
        </is>
      </c>
      <c r="D10" s="25" t="inlineStr">
        <is>
          <t>Expected objects: v1 12, v2 20, v3 28. v1: the intellectual entity, two representations (F006, F008), the 8 held files, and the es published PDF, which is described in PREMIS but not held in the package: it has no filepath and exists only as the source of the master's has Source relationship (DPM40, DPM75; F013). Each later version carries every predecessor object (DPM4) and adds the new language's DOCX, master and 3 reports, held, and its published PDF, described only (6), and the new DOME and DROID report replacing the old ones at their paths (2), the old ones staying described (F061).
Missing from the PoC's 9, 14, 19: v1 3 — both representations and the es published PDF (the intellectual entity is present, typed as a representation); v2 6 — also the fr published PDF and the superseded v1 DOME and DROID report; v3 9 — also the en published PDF and the superseded v2 DOME and DROID report. The PoC's re-created es and fr masters and reports (row 9) would add further superseded objects; under the profile they do not arise. Breakdown: PREMIS counts tab.</t>
        </is>
      </c>
      <c r="E10" s="25" t="n">
        <v>9</v>
      </c>
      <c r="F10" s="25" t="n">
        <v>14</v>
      </c>
      <c r="G10" s="25" t="n">
        <v>19</v>
      </c>
    </row>
    <row r="11" ht="198.75" customHeight="1" s="17">
      <c r="A11" s="27" t="inlineStr">
        <is>
          <t>PREMIS events</t>
        </is>
      </c>
      <c r="B11" s="25" t="inlineStr">
        <is>
          <t>PREMIS</t>
        </is>
      </c>
      <c r="C11" s="25" t="inlineStr">
        <is>
          <t>Number of event elements in this version's premis.xml.</t>
        </is>
      </c>
      <c r="D11" s="25" t="inlineStr">
        <is>
          <t>Expected events: v1 15, v2 29, v3 43.
v1 (es): ingestion start (1); digest calculation (3: DOCX, published PDF, master); copy fixity verification (2: DOCX, published PDF); filename change (1: DOCX); normalisation, conformance validation, fidelity review, format identification, descriptive metadata creation, SIP creation, ingest fixity verification, AIP creation (1 each).
v2 (fr) and v3 (en): every predecessor event carried (DPM4), plus 14 new — the same set for the new language without ingestion start, and descriptive metadata revision (DPM110) in place of creation.
The PoC writes only its own run's events: per language held, 2 ingestion events, a normalisation, a validation and a quality assurance, plus 1 format identification — 6, 11, 16. Never written: ingestion start, digest calculation, copy fixity verification, filename change (F039, F040, F041, F065), the DOME events (F048, F067), SIP creation (F049), ingest fixity verification and AIP creation (F050). Breakdown: PREMIS counts tab.</t>
        </is>
      </c>
      <c r="E11" s="25" t="n">
        <v>6</v>
      </c>
      <c r="F11" s="25" t="n">
        <v>11</v>
      </c>
      <c r="G11" s="25" t="n">
        <v>16</v>
      </c>
    </row>
    <row r="12" ht="108.75" customHeight="1" s="17">
      <c r="A12" s="27" t="inlineStr">
        <is>
          <t>Events carried from predecessor</t>
        </is>
      </c>
      <c r="B12" s="25" t="inlineStr">
        <is>
          <t>PREMIS</t>
        </is>
      </c>
      <c r="C12" s="25" t="inlineStr">
        <is>
          <t>How many of the previous version's events also appear in this version's premis.xml (same event UUID). 0 means the PREMIS was regenerated.</t>
        </is>
      </c>
      <c r="D12" s="25" t="inlineStr">
        <is>
          <t>Expected: every event of the previous version, carried unchanged with the same UUID (DPM4).
• v2: the 6 events in v1's premis.xml (15 had v1 been written as the profile requires).
• v3: the 11 events in v2's premis.xml (29 had v1 and v2 been conformant; PREMIS counts tab).
Found: 0 in v2 and v3. Each version's PREMIS is rewritten from scratch instead of extended (F060; Workflow W03).</t>
        </is>
      </c>
      <c r="E12" s="25" t="inlineStr">
        <is>
          <t>—</t>
        </is>
      </c>
      <c r="F12" s="25" t="n">
        <v>0</v>
      </c>
      <c r="G12" s="25" t="n">
        <v>0</v>
      </c>
    </row>
    <row r="13" ht="183.75" customHeight="1" s="17">
      <c r="A13" s="27" t="inlineStr">
        <is>
          <t>DPM12: PREMIS and the inventory agree</t>
        </is>
      </c>
      <c r="B13" s="25" t="inlineStr">
        <is>
          <t>PREMIS and OCFL inventory</t>
        </is>
      </c>
      <c r="C13" s="25" t="inlineStr">
        <is>
          <t>The ingest side's check before commit, run here on each committed version: (a) every file in the version's state, except the METS and PREMIS files and schemas/, is described by a file object with the same filepath and SHA-512; (b) every file held in this or any earlier version (each path with each digest it has had, except METS, PREMIS and schemas/) is described, and every file object with a filepath is one of them; (c) a new master whose has Source points to a published PDF already described belongs to a master_reconversion version; (d) every object, event and agent of the predecessor's premis.xml is carried unchanged.</t>
        </is>
      </c>
      <c r="D13" s="25" t="inlineStr">
        <is>
          <t>Expected: (a)–(d) all hold in every version. Found:
(a) holds: the PREMIS digests match the state. The PoC identifies files by local-path, not filepath (F012), but the values are the logical paths. No schemas/ folder is held (F003).
(b) fails in v2 and v3: of the files held so far (8, 20, 36), PREMIS describes 8, 13, 18; the superseded masters, reports, DOME, DROID export and dome_sql_extraction.json are missing (F061).
(c) cannot be checked: PREMIS has no published PDF objects and no has Source (F013, F021). On the evidence of row 9 it would fail in v2 (es) and v3 (es, fr) (F062).
(d) fails in v2 and v3: no predecessor event is carried (row 12), and few predecessor objects recur unchanged (F060).</t>
        </is>
      </c>
      <c r="E13" s="25" t="inlineStr">
        <is>
          <t>(a) yes, 8 of 8
(b) yes, 8 of 8
(c) not checkable
(d) — (no predecessor)</t>
        </is>
      </c>
      <c r="F13" s="25" t="inlineStr">
        <is>
          <t>(a) yes, 13 of 13
(b) no, 13 of 20 (7 missing)
(c) not checkable; fails on row 9 (es)
(d) no</t>
        </is>
      </c>
      <c r="G13" s="25" t="inlineStr">
        <is>
          <t>(a) yes, 18 of 18
(b) no, 18 of 36 (18 missing)
(c) not checkable; fails on row 9 (es, fr)
(d) no</t>
        </is>
      </c>
    </row>
    <row r="14" ht="153.75" customHeight="1" s="17">
      <c r="A14" s="27" t="inlineStr">
        <is>
          <t>UUID versions in premis.xml</t>
        </is>
      </c>
      <c r="B14" s="25" t="inlineStr">
        <is>
          <t>PREMIS</t>
        </is>
      </c>
      <c r="C14" s="25" t="inlineStr">
        <is>
          <t>The UUIDs written as identifiers of objects, events and agents, and their version: the first digit of the third group (…-4xxx-… is version 4, …-5xxx-… version 5).</t>
        </is>
      </c>
      <c r="D14" s="25" t="inlineStr">
        <is>
          <t>Every object, event and agent identified by a uuid4 (DPM8, DPM38, DPM81, DPM90). Each UUID is checked against the UUID registry when minted: if absent, it is entered in the registry and then used; if already present, the item is halted for review, never resolved by minting another (DPM8, DPM9).
Found: only the intellectual entity has a UUID, version 4, the same in all three versions (ec1921e0…). File objects are identified by their path alone (local-path; F011, F012). Agents are identified by name (F051). Every event UUID is version 5, name-based (F029; F064 for v2 and v3). No UUID registry appears in the developer's design (Workflow W15).</t>
        </is>
      </c>
      <c r="E14" s="25" t="inlineStr">
        <is>
          <t>objects: 1 of 9 with a UUID (v4); files by path only — wrong
events: v5 (6 of 6) — wrong
agents: by name (5) — wrong</t>
        </is>
      </c>
      <c r="F14" s="25" t="inlineStr">
        <is>
          <t>objects: 1 of 14 with a UUID (v4); files by path only — wrong
events: v5 (11 of 11) — wrong
agents: by name (5) — wrong</t>
        </is>
      </c>
      <c r="G14" s="25" t="inlineStr">
        <is>
          <t>objects: 1 of 19 with a UUID (v4); files by path only — wrong
events: v5 (16 of 16) — wrong
agents: by name (5) — wrong</t>
        </is>
      </c>
    </row>
    <row r="15" ht="504.75" customHeight="1" s="17">
      <c r="A15" s="27" t="inlineStr">
        <is>
          <t>Files added (paths)</t>
        </is>
      </c>
      <c r="B15" s="25" t="inlineStr">
        <is>
          <t>OCFL inventory</t>
        </is>
      </c>
      <c r="C15" s="25" t="inlineStr">
        <is>
          <t>The logical paths counted in 'Files added', one per line, relative to the version's content/ directory.</t>
        </is>
      </c>
      <c r="D15" s="25" t="inlineStr">
        <is>
          <t>Full comparison of every path, with SHA-512 per version: Files tab.</t>
        </is>
      </c>
      <c r="E15" s="25" t="inlineStr">
        <is>
          <t>documentation/2026_011922_dome_sql_extraction.json
documentation/2026_011922_droid_export.csv
documentation/2026_011922_es_G_SPS_NCHL890A1_conv_aspose.xml
documentation/2026_011922_es_G_SPS_NCHL890A1_qa_pypdf.json
documentation/2026_011922_es_G_SPS_NCHL890A1_val_verapdf.xml
metadata/2026_011922_dome.xml
metadata/2026_011922_mets.xml
metadata/2026_011922_premis.xml
representations/rep_1/data/es/2026_011922_es_G_SPS_NCHL890A1.docx
representations/rep_2/data/es/2026_011922_es_G_SPS_NCHL890A1.pdf</t>
        </is>
      </c>
      <c r="F15" s="25" t="inlineStr">
        <is>
          <t>documentation/2026_011922_fr_G_SPS_NCHL890A1_conv_aspose.xml
documentation/2026_011922_fr_G_SPS_NCHL890A1_qa_pypdf.json
documentation/2026_011922_fr_G_SPS_NCHL890A1_val_verapdf.xml
representations/rep_1/data/fr/2026_011922_fr_G_SPS_NCHL890A1.docx
representations/rep_2/data/fr/2026_011922_fr_G_SPS_NCHL890A1.pdf</t>
        </is>
      </c>
      <c r="G15" s="25" t="inlineStr">
        <is>
          <t>documentation/2026_011922_en_G_SPS_NCHL890A1_conv_aspose.xml
documentation/2026_011922_en_G_SPS_NCHL890A1_qa_pypdf.json
documentation/2026_011922_en_G_SPS_NCHL890A1_val_verapdf.xml
representations/rep_1/data/en/2026_011922_en_G_SPS_NCHL890A1.docx
representations/rep_2/data/en/2026_011922_en_G_SPS_NCHL890A1.pdf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48"/>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46" customWidth="1" style="16" min="1" max="1"/>
    <col width="10" customWidth="1" style="16" min="2" max="10"/>
    <col width="60" customWidth="1" style="16" min="11" max="11"/>
  </cols>
  <sheetData>
    <row r="1" ht="15" customHeight="1" s="17">
      <c r="A1" s="29" t="inlineStr">
        <is>
          <t>Objects in premis.xml</t>
        </is>
      </c>
    </row>
    <row r="2" ht="15" customHeight="1" s="17">
      <c r="A2" s="30" t="inlineStr">
        <is>
          <t>Expected: what profile v0.4 requires. New = written in that version; total = new plus everything carried from the predecessor (DPM4). Found: what the package's premis.xml contains.</t>
        </is>
      </c>
    </row>
    <row r="3" ht="18.75" customHeight="1" s="17"/>
    <row r="4" ht="33.75" customHeight="1" s="17">
      <c r="A4" s="21" t="inlineStr">
        <is>
          <t>Object</t>
        </is>
      </c>
      <c r="B4" s="21" t="inlineStr">
        <is>
          <t>Expected new v1</t>
        </is>
      </c>
      <c r="C4" s="21" t="inlineStr">
        <is>
          <t>Expected new v2</t>
        </is>
      </c>
      <c r="D4" s="21" t="inlineStr">
        <is>
          <t>Expected new v3</t>
        </is>
      </c>
      <c r="E4" s="21" t="inlineStr">
        <is>
          <t>Expected total v1</t>
        </is>
      </c>
      <c r="F4" s="21" t="inlineStr">
        <is>
          <t>Expected total v2</t>
        </is>
      </c>
      <c r="G4" s="21" t="inlineStr">
        <is>
          <t>Expected total v3</t>
        </is>
      </c>
      <c r="H4" s="21" t="inlineStr">
        <is>
          <t>Found v1</t>
        </is>
      </c>
      <c r="I4" s="21" t="inlineStr">
        <is>
          <t>Found v2</t>
        </is>
      </c>
      <c r="J4" s="21" t="inlineStr">
        <is>
          <t>Found v3</t>
        </is>
      </c>
      <c r="K4" s="21" t="inlineStr">
        <is>
          <t>Note</t>
        </is>
      </c>
    </row>
    <row r="5" ht="18.75" customHeight="1" s="17">
      <c r="A5" s="25" t="inlineStr">
        <is>
          <t>Intellectual entity</t>
        </is>
      </c>
      <c r="B5" s="25" t="n">
        <v>1</v>
      </c>
      <c r="C5" s="25" t="n">
        <v>0</v>
      </c>
      <c r="D5" s="25" t="n">
        <v>0</v>
      </c>
      <c r="E5" s="25">
        <f>B5</f>
        <v/>
      </c>
      <c r="F5" s="25">
        <f>E5+C5</f>
        <v/>
      </c>
      <c r="G5" s="25">
        <f>F5+D5</f>
        <v/>
      </c>
      <c r="H5" s="25" t="n">
        <v>1</v>
      </c>
      <c r="I5" s="25" t="n">
        <v>1</v>
      </c>
      <c r="J5" s="25" t="n">
        <v>1</v>
      </c>
      <c r="K5" s="25" t="inlineStr">
        <is>
          <t>Found typed as a representation (F006).</t>
        </is>
      </c>
    </row>
    <row r="6" ht="18.75" customHeight="1" s="17">
      <c r="A6" s="25" t="inlineStr">
        <is>
          <t>Representations (rep_1, rep_2)</t>
        </is>
      </c>
      <c r="B6" s="25" t="n">
        <v>2</v>
      </c>
      <c r="C6" s="25" t="n">
        <v>0</v>
      </c>
      <c r="D6" s="25" t="n">
        <v>0</v>
      </c>
      <c r="E6" s="25">
        <f>B6</f>
        <v/>
      </c>
      <c r="F6" s="25">
        <f>E6+C6</f>
        <v/>
      </c>
      <c r="G6" s="25">
        <f>F6+D6</f>
        <v/>
      </c>
      <c r="H6" s="25" t="n">
        <v>0</v>
      </c>
      <c r="I6" s="25" t="n">
        <v>0</v>
      </c>
      <c r="J6" s="25" t="n">
        <v>0</v>
      </c>
      <c r="K6" s="25" t="inlineStr">
        <is>
          <t>None found (F008).</t>
        </is>
      </c>
    </row>
    <row r="7" ht="63.75" customHeight="1" s="17">
      <c r="A7" s="25" t="inlineStr">
        <is>
          <t>Held files at a new path</t>
        </is>
      </c>
      <c r="B7" s="25" t="n">
        <v>8</v>
      </c>
      <c r="C7" s="25" t="n">
        <v>5</v>
      </c>
      <c r="D7" s="25" t="n">
        <v>5</v>
      </c>
      <c r="E7" s="25">
        <f>B7</f>
        <v/>
      </c>
      <c r="F7" s="25">
        <f>E7+C7</f>
        <v/>
      </c>
      <c r="G7" s="25">
        <f>F7+D7</f>
        <v/>
      </c>
      <c r="H7" s="25" t="n">
        <v>8</v>
      </c>
      <c r="I7" s="25" t="n">
        <v>13</v>
      </c>
      <c r="J7" s="25" t="n">
        <v>18</v>
      </c>
      <c r="K7" s="25" t="inlineStr">
        <is>
          <t>Excludes PREMIS and METS (DPM12); includes dome_sql_extraction.json (F026). New in v2 and v3: the language's DOCX, master and 3 reports. The PoC's found counts include its re-created masters and reports (F062).</t>
        </is>
      </c>
    </row>
    <row r="8" ht="48.75" customHeight="1" s="17">
      <c r="A8" s="25" t="inlineStr">
        <is>
          <t>Held files replacing an earlier file at its path (DOME, DROID report)</t>
        </is>
      </c>
      <c r="B8" s="25" t="n">
        <v>0</v>
      </c>
      <c r="C8" s="25" t="n">
        <v>2</v>
      </c>
      <c r="D8" s="25" t="n">
        <v>2</v>
      </c>
      <c r="E8" s="25">
        <f>B8</f>
        <v/>
      </c>
      <c r="F8" s="25">
        <f>E8+C8</f>
        <v/>
      </c>
      <c r="G8" s="25">
        <f>F8+D8</f>
        <v/>
      </c>
      <c r="H8" s="25" t="n">
        <v>0</v>
      </c>
      <c r="I8" s="25" t="n">
        <v>0</v>
      </c>
      <c r="J8" s="25" t="n">
        <v>0</v>
      </c>
      <c r="K8" s="25" t="inlineStr">
        <is>
          <t>The replaced file stays described as superseded (DPM4; F061). The PoC describes only the current file, counted in the row above (F060).</t>
        </is>
      </c>
    </row>
    <row r="9" ht="33.75" customHeight="1" s="17">
      <c r="A9" s="25" t="inlineStr">
        <is>
          <t>Published PDFs, described not held (no filepath)</t>
        </is>
      </c>
      <c r="B9" s="25" t="n">
        <v>1</v>
      </c>
      <c r="C9" s="25" t="n">
        <v>1</v>
      </c>
      <c r="D9" s="25" t="n">
        <v>1</v>
      </c>
      <c r="E9" s="25">
        <f>B9</f>
        <v/>
      </c>
      <c r="F9" s="25">
        <f>E9+C9</f>
        <v/>
      </c>
      <c r="G9" s="25">
        <f>F9+D9</f>
        <v/>
      </c>
      <c r="H9" s="25" t="n">
        <v>0</v>
      </c>
      <c r="I9" s="25" t="n">
        <v>0</v>
      </c>
      <c r="J9" s="25" t="n">
        <v>0</v>
      </c>
      <c r="K9" s="25" t="inlineStr">
        <is>
          <t>Source of each master's has Source (DPM40, DPM75); none found (F013).</t>
        </is>
      </c>
    </row>
    <row r="10" ht="18.75" customHeight="1" s="17">
      <c r="A10" s="27" t="inlineStr">
        <is>
          <t>Total</t>
        </is>
      </c>
      <c r="B10" s="27">
        <f>SUM(B5:B9)</f>
        <v/>
      </c>
      <c r="C10" s="27">
        <f>SUM(C5:C9)</f>
        <v/>
      </c>
      <c r="D10" s="27">
        <f>SUM(D5:D9)</f>
        <v/>
      </c>
      <c r="E10" s="27">
        <f>SUM(E5:E9)</f>
        <v/>
      </c>
      <c r="F10" s="27">
        <f>SUM(F5:F9)</f>
        <v/>
      </c>
      <c r="G10" s="27">
        <f>SUM(G5:G9)</f>
        <v/>
      </c>
      <c r="H10" s="27">
        <f>SUM(H5:H9)</f>
        <v/>
      </c>
      <c r="I10" s="27">
        <f>SUM(I5:I9)</f>
        <v/>
      </c>
      <c r="J10" s="27">
        <f>SUM(J5:J9)</f>
        <v/>
      </c>
      <c r="K10" s="27" t="inlineStr">
        <is>
          <t>Of the found objects only the intellectual entity has a UUID; file objects are identified by path (F011). Versions rows 10 and 14.</t>
        </is>
      </c>
    </row>
    <row r="11" ht="18.75" customHeight="1" s="17"/>
    <row r="12" ht="18.75" customHeight="1" s="17"/>
    <row r="13" ht="15" customHeight="1" s="17">
      <c r="A13" s="29" t="inlineStr">
        <is>
          <t>Events in premis.xml</t>
        </is>
      </c>
    </row>
    <row r="14" ht="15" customHeight="1" s="17">
      <c r="A14" s="30" t="inlineStr">
        <is>
          <t>Expected: what profile v0.4 requires. New = written in that version; total = new plus everything carried from the predecessor (DPM4). Found: what the package's premis.xml contains.</t>
        </is>
      </c>
    </row>
    <row r="15" ht="33.75" customHeight="1" s="17">
      <c r="A15" s="21" t="inlineStr">
        <is>
          <t>Event</t>
        </is>
      </c>
      <c r="B15" s="21" t="inlineStr">
        <is>
          <t>Expected new v1</t>
        </is>
      </c>
      <c r="C15" s="21" t="inlineStr">
        <is>
          <t>Expected new v2</t>
        </is>
      </c>
      <c r="D15" s="21" t="inlineStr">
        <is>
          <t>Expected new v3</t>
        </is>
      </c>
      <c r="E15" s="21" t="inlineStr">
        <is>
          <t>Expected total v1</t>
        </is>
      </c>
      <c r="F15" s="21" t="inlineStr">
        <is>
          <t>Expected total v2</t>
        </is>
      </c>
      <c r="G15" s="21" t="inlineStr">
        <is>
          <t>Expected total v3</t>
        </is>
      </c>
      <c r="H15" s="21" t="inlineStr">
        <is>
          <t>Found v1</t>
        </is>
      </c>
      <c r="I15" s="21" t="inlineStr">
        <is>
          <t>Found v2</t>
        </is>
      </c>
      <c r="J15" s="21" t="inlineStr">
        <is>
          <t>Found v3</t>
        </is>
      </c>
      <c r="K15" s="21" t="inlineStr">
        <is>
          <t>Note</t>
        </is>
      </c>
    </row>
    <row r="16" ht="18.75" customHeight="1" s="17">
      <c r="A16" s="25" t="inlineStr">
        <is>
          <t>Ingestion start (DPM102)</t>
        </is>
      </c>
      <c r="B16" s="25" t="n">
        <v>1</v>
      </c>
      <c r="C16" s="25" t="n">
        <v>0</v>
      </c>
      <c r="D16" s="25" t="n">
        <v>0</v>
      </c>
      <c r="E16" s="25">
        <f>B16</f>
        <v/>
      </c>
      <c r="F16" s="25">
        <f>E16+C16</f>
        <v/>
      </c>
      <c r="G16" s="25">
        <f>F16+D16</f>
        <v/>
      </c>
      <c r="H16" s="25" t="n">
        <v>0</v>
      </c>
      <c r="I16" s="25" t="n">
        <v>0</v>
      </c>
      <c r="J16" s="25" t="n">
        <v>0</v>
      </c>
      <c r="K16" s="25" t="inlineStr">
        <is>
          <t>Once per AIP, in v1 (F039, F065).</t>
        </is>
      </c>
    </row>
    <row r="17" ht="18.75" customHeight="1" s="17">
      <c r="A17" s="25" t="inlineStr">
        <is>
          <t>Digest calculation (DPM103)</t>
        </is>
      </c>
      <c r="B17" s="25" t="n">
        <v>3</v>
      </c>
      <c r="C17" s="25" t="n">
        <v>3</v>
      </c>
      <c r="D17" s="25" t="n">
        <v>3</v>
      </c>
      <c r="E17" s="25">
        <f>B17</f>
        <v/>
      </c>
      <c r="F17" s="25">
        <f>E17+C17</f>
        <v/>
      </c>
      <c r="G17" s="25">
        <f>F17+D17</f>
        <v/>
      </c>
      <c r="H17" s="25" t="n">
        <v>0</v>
      </c>
      <c r="I17" s="25" t="n">
        <v>0</v>
      </c>
      <c r="J17" s="25" t="n">
        <v>0</v>
      </c>
      <c r="K17" s="25" t="inlineStr">
        <is>
          <t>The new language's DOCX, published PDF and master (F040, F065).</t>
        </is>
      </c>
    </row>
    <row r="18" ht="18.75" customHeight="1" s="17">
      <c r="A18" s="25" t="inlineStr">
        <is>
          <t>Copy fixity verification (DPM104)</t>
        </is>
      </c>
      <c r="B18" s="25" t="n">
        <v>2</v>
      </c>
      <c r="C18" s="25" t="n">
        <v>2</v>
      </c>
      <c r="D18" s="25" t="n">
        <v>2</v>
      </c>
      <c r="E18" s="25">
        <f>B18</f>
        <v/>
      </c>
      <c r="F18" s="25">
        <f>E18+C18</f>
        <v/>
      </c>
      <c r="G18" s="25">
        <f>F18+D18</f>
        <v/>
      </c>
      <c r="H18" s="25" t="n">
        <v>0</v>
      </c>
      <c r="I18" s="25" t="n">
        <v>0</v>
      </c>
      <c r="J18" s="25" t="n">
        <v>0</v>
      </c>
      <c r="K18" s="25" t="inlineStr">
        <is>
          <t>DOCX and published PDF (F040, F065).</t>
        </is>
      </c>
    </row>
    <row r="19" ht="18.75" customHeight="1" s="17">
      <c r="A19" s="25" t="inlineStr">
        <is>
          <t>Filename change (DPM105)</t>
        </is>
      </c>
      <c r="B19" s="25" t="n">
        <v>1</v>
      </c>
      <c r="C19" s="25" t="n">
        <v>1</v>
      </c>
      <c r="D19" s="25" t="n">
        <v>1</v>
      </c>
      <c r="E19" s="25">
        <f>B19</f>
        <v/>
      </c>
      <c r="F19" s="25">
        <f>E19+C19</f>
        <v/>
      </c>
      <c r="G19" s="25">
        <f>F19+D19</f>
        <v/>
      </c>
      <c r="H19" s="25" t="n">
        <v>0</v>
      </c>
      <c r="I19" s="25" t="n">
        <v>0</v>
      </c>
      <c r="J19" s="25" t="n">
        <v>0</v>
      </c>
      <c r="K19" s="25" t="inlineStr">
        <is>
          <t>The DOCX, renamed from its DOL name (F041).</t>
        </is>
      </c>
    </row>
    <row r="20" ht="33.75" customHeight="1" s="17">
      <c r="A20" s="25" t="inlineStr">
        <is>
          <t>Normalisation (DPM106)</t>
        </is>
      </c>
      <c r="B20" s="25" t="n">
        <v>1</v>
      </c>
      <c r="C20" s="25" t="n">
        <v>1</v>
      </c>
      <c r="D20" s="25" t="n">
        <v>1</v>
      </c>
      <c r="E20" s="25">
        <f>B20</f>
        <v/>
      </c>
      <c r="F20" s="25">
        <f>E20+C20</f>
        <v/>
      </c>
      <c r="G20" s="25">
        <f>F20+D20</f>
        <v/>
      </c>
      <c r="H20" s="25" t="n">
        <v>1</v>
      </c>
      <c r="I20" s="25" t="n">
        <v>2</v>
      </c>
      <c r="J20" s="25" t="n">
        <v>3</v>
      </c>
      <c r="K20" s="25" t="inlineStr">
        <is>
          <t>Found for every language held: the PoC re-converts unchanged ones (F062).</t>
        </is>
      </c>
    </row>
    <row r="21" ht="18.75" customHeight="1" s="17">
      <c r="A21" s="25" t="inlineStr">
        <is>
          <t>Conformance validation (DPM107)</t>
        </is>
      </c>
      <c r="B21" s="25" t="n">
        <v>1</v>
      </c>
      <c r="C21" s="25" t="n">
        <v>1</v>
      </c>
      <c r="D21" s="25" t="n">
        <v>1</v>
      </c>
      <c r="E21" s="25">
        <f>B21</f>
        <v/>
      </c>
      <c r="F21" s="25">
        <f>E21+C21</f>
        <v/>
      </c>
      <c r="G21" s="25">
        <f>F21+D21</f>
        <v/>
      </c>
      <c r="H21" s="25" t="n">
        <v>1</v>
      </c>
      <c r="I21" s="25" t="n">
        <v>2</v>
      </c>
      <c r="J21" s="25" t="n">
        <v>3</v>
      </c>
      <c r="K21" s="25" t="inlineStr">
        <is>
          <t>As normalisation.</t>
        </is>
      </c>
    </row>
    <row r="22" ht="33.75" customHeight="1" s="17">
      <c r="A22" s="25" t="inlineStr">
        <is>
          <t>Fidelity review (DPM108)</t>
        </is>
      </c>
      <c r="B22" s="25" t="n">
        <v>1</v>
      </c>
      <c r="C22" s="25" t="n">
        <v>1</v>
      </c>
      <c r="D22" s="25" t="n">
        <v>1</v>
      </c>
      <c r="E22" s="25">
        <f>B22</f>
        <v/>
      </c>
      <c r="F22" s="25">
        <f>E22+C22</f>
        <v/>
      </c>
      <c r="G22" s="25">
        <f>F22+D22</f>
        <v/>
      </c>
      <c r="H22" s="25" t="n">
        <v>1</v>
      </c>
      <c r="I22" s="25" t="n">
        <v>2</v>
      </c>
      <c r="J22" s="25" t="n">
        <v>3</v>
      </c>
      <c r="K22" s="25" t="inlineStr">
        <is>
          <t>Found typed quality assurance, not the local qualityReview (F030).</t>
        </is>
      </c>
    </row>
    <row r="23" ht="18.75" customHeight="1" s="17">
      <c r="A23" s="25" t="inlineStr">
        <is>
          <t>Format identification (DPM109)</t>
        </is>
      </c>
      <c r="B23" s="25" t="n">
        <v>1</v>
      </c>
      <c r="C23" s="25" t="n">
        <v>1</v>
      </c>
      <c r="D23" s="25" t="n">
        <v>1</v>
      </c>
      <c r="E23" s="25">
        <f>B23</f>
        <v/>
      </c>
      <c r="F23" s="25">
        <f>E23+C23</f>
        <v/>
      </c>
      <c r="G23" s="25">
        <f>F23+D23</f>
        <v/>
      </c>
      <c r="H23" s="25" t="n">
        <v>1</v>
      </c>
      <c r="I23" s="25" t="n">
        <v>1</v>
      </c>
      <c r="J23" s="25" t="n">
        <v>1</v>
      </c>
      <c r="K23" s="25" t="inlineStr">
        <is>
          <t>Found linking unchanged files in v2 and v3 (F066).</t>
        </is>
      </c>
    </row>
    <row r="24" ht="18.75" customHeight="1" s="17">
      <c r="A24" s="25" t="inlineStr">
        <is>
          <t>Descriptive metadata creation (DPM116)</t>
        </is>
      </c>
      <c r="B24" s="25" t="n">
        <v>1</v>
      </c>
      <c r="C24" s="25" t="n">
        <v>0</v>
      </c>
      <c r="D24" s="25" t="n">
        <v>0</v>
      </c>
      <c r="E24" s="25">
        <f>B24</f>
        <v/>
      </c>
      <c r="F24" s="25">
        <f>E24+C24</f>
        <v/>
      </c>
      <c r="G24" s="25">
        <f>F24+D24</f>
        <v/>
      </c>
      <c r="H24" s="25" t="n">
        <v>0</v>
      </c>
      <c r="I24" s="25" t="n">
        <v>0</v>
      </c>
      <c r="J24" s="25" t="n">
        <v>0</v>
      </c>
      <c r="K24" s="25" t="inlineStr">
        <is>
          <t>F048.</t>
        </is>
      </c>
    </row>
    <row r="25" ht="18.75" customHeight="1" s="17">
      <c r="A25" s="25" t="inlineStr">
        <is>
          <t>Descriptive metadata revision (DPM110)</t>
        </is>
      </c>
      <c r="B25" s="25" t="n">
        <v>0</v>
      </c>
      <c r="C25" s="25" t="n">
        <v>1</v>
      </c>
      <c r="D25" s="25" t="n">
        <v>1</v>
      </c>
      <c r="E25" s="25">
        <f>B25</f>
        <v/>
      </c>
      <c r="F25" s="25">
        <f>E25+C25</f>
        <v/>
      </c>
      <c r="G25" s="25">
        <f>F25+D25</f>
        <v/>
      </c>
      <c r="H25" s="25" t="n">
        <v>0</v>
      </c>
      <c r="I25" s="25" t="n">
        <v>0</v>
      </c>
      <c r="J25" s="25" t="n">
        <v>0</v>
      </c>
      <c r="K25" s="25" t="inlineStr">
        <is>
          <t>DOME is rewritten in v2 and v3 (F067).</t>
        </is>
      </c>
    </row>
    <row r="26" ht="18.75" customHeight="1" s="17">
      <c r="A26" s="25" t="inlineStr">
        <is>
          <t>SIP creation (DPM111)</t>
        </is>
      </c>
      <c r="B26" s="25" t="n">
        <v>1</v>
      </c>
      <c r="C26" s="25" t="n">
        <v>1</v>
      </c>
      <c r="D26" s="25" t="n">
        <v>1</v>
      </c>
      <c r="E26" s="25">
        <f>B26</f>
        <v/>
      </c>
      <c r="F26" s="25">
        <f>E26+C26</f>
        <v/>
      </c>
      <c r="G26" s="25">
        <f>F26+D26</f>
        <v/>
      </c>
      <c r="H26" s="25" t="n">
        <v>0</v>
      </c>
      <c r="I26" s="25" t="n">
        <v>0</v>
      </c>
      <c r="J26" s="25" t="n">
        <v>0</v>
      </c>
      <c r="K26" s="25" t="inlineStr">
        <is>
          <t>F049.</t>
        </is>
      </c>
    </row>
    <row r="27" ht="18.75" customHeight="1" s="17">
      <c r="A27" s="25" t="inlineStr">
        <is>
          <t>Ingest fixity verification (DPM112)</t>
        </is>
      </c>
      <c r="B27" s="25" t="n">
        <v>1</v>
      </c>
      <c r="C27" s="25" t="n">
        <v>1</v>
      </c>
      <c r="D27" s="25" t="n">
        <v>1</v>
      </c>
      <c r="E27" s="25">
        <f>B27</f>
        <v/>
      </c>
      <c r="F27" s="25">
        <f>E27+C27</f>
        <v/>
      </c>
      <c r="G27" s="25">
        <f>F27+D27</f>
        <v/>
      </c>
      <c r="H27" s="25" t="n">
        <v>0</v>
      </c>
      <c r="I27" s="25" t="n">
        <v>0</v>
      </c>
      <c r="J27" s="25" t="n">
        <v>0</v>
      </c>
      <c r="K27" s="25" t="inlineStr">
        <is>
          <t>F050.</t>
        </is>
      </c>
    </row>
    <row r="28" ht="18.75" customHeight="1" s="17">
      <c r="A28" s="25" t="inlineStr">
        <is>
          <t>AIP creation (DPM113)</t>
        </is>
      </c>
      <c r="B28" s="25" t="n">
        <v>1</v>
      </c>
      <c r="C28" s="25" t="n">
        <v>1</v>
      </c>
      <c r="D28" s="25" t="n">
        <v>1</v>
      </c>
      <c r="E28" s="25">
        <f>B28</f>
        <v/>
      </c>
      <c r="F28" s="25">
        <f>E28+C28</f>
        <v/>
      </c>
      <c r="G28" s="25">
        <f>F28+D28</f>
        <v/>
      </c>
      <c r="H28" s="25" t="n">
        <v>0</v>
      </c>
      <c r="I28" s="25" t="n">
        <v>0</v>
      </c>
      <c r="J28" s="25" t="n">
        <v>0</v>
      </c>
      <c r="K28" s="25" t="inlineStr">
        <is>
          <t>F050.</t>
        </is>
      </c>
    </row>
    <row r="29" ht="78.75" customHeight="1" s="17">
      <c r="A29" s="25" t="inlineStr">
        <is>
          <t>ingestion (found only; not in the profile)</t>
        </is>
      </c>
      <c r="B29" s="25" t="n">
        <v>0</v>
      </c>
      <c r="C29" s="25" t="n">
        <v>0</v>
      </c>
      <c r="D29" s="25" t="n">
        <v>0</v>
      </c>
      <c r="E29" s="25">
        <f>B29</f>
        <v/>
      </c>
      <c r="F29" s="25">
        <f>E29+C29</f>
        <v/>
      </c>
      <c r="G29" s="25">
        <f>F29+D29</f>
        <v/>
      </c>
      <c r="H29" s="25" t="n">
        <v>2</v>
      </c>
      <c r="I29" s="25" t="n">
        <v>4</v>
      </c>
      <c r="J29" s="25" t="n">
        <v>6</v>
      </c>
      <c r="K29" s="25" t="inlineStr">
        <is>
          <t>Two per language held, one each for the DOCX and the PDF, recording PoC 1's result (STEP_1_PREPARED_FIXITY_VERIFIED). The profile records the same act as digest calculation and copy fixity verification (DPM103, DPM104), and the start and end of ingest as DPM102 and DPM113; it does not use the LoC type ingestion, which names the whole process (F030, F039, F065).</t>
        </is>
      </c>
    </row>
    <row r="30" ht="33.75" customHeight="1" s="17">
      <c r="A30" s="27" t="inlineStr">
        <is>
          <t>Total</t>
        </is>
      </c>
      <c r="B30" s="27">
        <f>SUM(B16:B29)</f>
        <v/>
      </c>
      <c r="C30" s="27">
        <f>SUM(C16:C29)</f>
        <v/>
      </c>
      <c r="D30" s="27">
        <f>SUM(D16:D29)</f>
        <v/>
      </c>
      <c r="E30" s="27">
        <f>SUM(E16:E29)</f>
        <v/>
      </c>
      <c r="F30" s="27">
        <f>SUM(F16:F29)</f>
        <v/>
      </c>
      <c r="G30" s="27">
        <f>SUM(G16:G29)</f>
        <v/>
      </c>
      <c r="H30" s="27">
        <f>SUM(H16:H29)</f>
        <v/>
      </c>
      <c r="I30" s="27">
        <f>SUM(I16:I29)</f>
        <v/>
      </c>
      <c r="J30" s="27">
        <f>SUM(J16:J29)</f>
        <v/>
      </c>
      <c r="K30" s="27" t="inlineStr">
        <is>
          <t>Found: no predecessor event is carried (Versions row 12; F060). Every found event has a version 5 UUID, not uuid4 (F029, F064). Versions rows 11 and 14.</t>
        </is>
      </c>
    </row>
    <row r="33" ht="15" customHeight="1" s="17">
      <c r="A33" s="29" t="inlineStr">
        <is>
          <t>Agents in premis.xml</t>
        </is>
      </c>
    </row>
    <row r="34" ht="15" customHeight="1" s="17">
      <c r="A34" s="30" t="inlineStr">
        <is>
          <t>Expected: what profile v0.4 requires. New = written in that version; total = new plus everything carried from the predecessor (DPM4). Found: what the package's premis.xml contains. An agent described in an earlier version is carried, not described again; a new software version is a new agent (DPM78, DPM84).</t>
        </is>
      </c>
    </row>
    <row r="35" ht="33.75" customHeight="1" s="17">
      <c r="A35" s="21" t="inlineStr">
        <is>
          <t>Agent</t>
        </is>
      </c>
      <c r="B35" s="21" t="inlineStr">
        <is>
          <t>Expected new v1</t>
        </is>
      </c>
      <c r="C35" s="21" t="inlineStr">
        <is>
          <t>Expected new v2</t>
        </is>
      </c>
      <c r="D35" s="21" t="inlineStr">
        <is>
          <t>Expected new v3</t>
        </is>
      </c>
      <c r="E35" s="21" t="inlineStr">
        <is>
          <t>Expected total v1</t>
        </is>
      </c>
      <c r="F35" s="21" t="inlineStr">
        <is>
          <t>Expected total v2</t>
        </is>
      </c>
      <c r="G35" s="21" t="inlineStr">
        <is>
          <t>Expected total v3</t>
        </is>
      </c>
      <c r="H35" s="21" t="inlineStr">
        <is>
          <t>Found v1</t>
        </is>
      </c>
      <c r="I35" s="21" t="inlineStr">
        <is>
          <t>Found v2</t>
        </is>
      </c>
      <c r="J35" s="21" t="inlineStr">
        <is>
          <t>Found v3</t>
        </is>
      </c>
      <c r="K35" s="21" t="inlineStr">
        <is>
          <t>Note</t>
        </is>
      </c>
    </row>
    <row r="36" ht="33.75" customHeight="1" s="17">
      <c r="A36" s="27" t="inlineStr">
        <is>
          <t>Operator (person; authorizer of every event)</t>
        </is>
      </c>
      <c r="B36" s="27" t="n">
        <v>1</v>
      </c>
      <c r="C36" s="27" t="n">
        <v>0</v>
      </c>
      <c r="D36" s="27" t="n">
        <v>0</v>
      </c>
      <c r="E36" s="27">
        <f>B36</f>
        <v/>
      </c>
      <c r="F36" s="27">
        <f>E36+C36</f>
        <v/>
      </c>
      <c r="G36" s="27">
        <f>F36+D36</f>
        <v/>
      </c>
      <c r="H36" s="27" t="n">
        <v>0</v>
      </c>
      <c r="I36" s="27" t="n">
        <v>0</v>
      </c>
      <c r="J36" s="27" t="n">
        <v>0</v>
      </c>
      <c r="K36" s="27" t="inlineStr">
        <is>
          <t>No person agent found (F053). Named or role-level: profile Open item Person agents.</t>
        </is>
      </c>
    </row>
    <row r="37" ht="48.75" customHeight="1" s="17">
      <c r="A37" s="27" t="inlineStr">
        <is>
          <t>poc1_builder.py (step 1): ingestion start, digest calculation and copy fixity verification of extracted files, filename change (DPM102–DPM105)</t>
        </is>
      </c>
      <c r="B37" s="27" t="n">
        <v>1</v>
      </c>
      <c r="C37" s="27" t="n">
        <v>0</v>
      </c>
      <c r="D37" s="27" t="n">
        <v>0</v>
      </c>
      <c r="E37" s="27">
        <f>B37</f>
        <v/>
      </c>
      <c r="F37" s="27">
        <f>E37+C37</f>
        <v/>
      </c>
      <c r="G37" s="27">
        <f>F37+D37</f>
        <v/>
      </c>
      <c r="H37" s="27" t="n">
        <v>1</v>
      </c>
      <c r="I37" s="27" t="n">
        <v>1</v>
      </c>
      <c r="J37" s="27" t="n">
        <v>1</v>
      </c>
      <c r="K37" s="27" t="inlineStr">
        <is>
          <t>Found as Python DPR PoC1, without version (F052).</t>
        </is>
      </c>
    </row>
    <row r="38" ht="48.75" customHeight="1" s="17">
      <c r="A38" s="27" t="inlineStr">
        <is>
          <t>poc3_aspose.py (step 3): digest calculation of the master (DPM103); fixity originator of the conversion log (DPM47)</t>
        </is>
      </c>
      <c r="B38" s="27" t="n">
        <v>1</v>
      </c>
      <c r="C38" s="27" t="n">
        <v>0</v>
      </c>
      <c r="D38" s="27" t="n">
        <v>0</v>
      </c>
      <c r="E38" s="27">
        <f>B38</f>
        <v/>
      </c>
      <c r="F38" s="27">
        <f>E38+C38</f>
        <v/>
      </c>
      <c r="G38" s="27">
        <f>F38+D38</f>
        <v/>
      </c>
      <c r="H38" s="27" t="n">
        <v>0</v>
      </c>
      <c r="I38" s="27" t="n">
        <v>0</v>
      </c>
      <c r="J38" s="27" t="n">
        <v>0</v>
      </c>
      <c r="K38" s="27" t="inlineStr">
        <is>
          <t>Not found. Aspose, not the script, is the executing program of the normalisation (DPM106).</t>
        </is>
      </c>
    </row>
    <row r="39" ht="48.75" customHeight="1" s="17">
      <c r="A39" s="27" t="inlineStr">
        <is>
          <t>poc5_qa.py (step 5): fidelity review, the QA stage script (DPM108); fixity originator of the QA report</t>
        </is>
      </c>
      <c r="B39" s="27" t="n">
        <v>1</v>
      </c>
      <c r="C39" s="27" t="n">
        <v>0</v>
      </c>
      <c r="D39" s="27" t="n">
        <v>0</v>
      </c>
      <c r="E39" s="27">
        <f>B39</f>
        <v/>
      </c>
      <c r="F39" s="27">
        <f>E39+C39</f>
        <v/>
      </c>
      <c r="G39" s="27">
        <f>F39+D39</f>
        <v/>
      </c>
      <c r="H39" s="27" t="n">
        <v>1</v>
      </c>
      <c r="I39" s="27" t="n">
        <v>1</v>
      </c>
      <c r="J39" s="27" t="n">
        <v>1</v>
      </c>
      <c r="K39" s="27" t="inlineStr">
        <is>
          <t>Found as Python DPR PoC4: the PoC's legacy stage number, not the script's (v2.5 §3).</t>
        </is>
      </c>
    </row>
    <row r="40" ht="48.75" customHeight="1" s="17">
      <c r="A40" s="27" t="inlineStr">
        <is>
          <t>poc6_metadata.py (step 6): DOME creation and revision (DPM116, DPM110); fixity originator of the DOME record</t>
        </is>
      </c>
      <c r="B40" s="27" t="n">
        <v>1</v>
      </c>
      <c r="C40" s="27" t="n">
        <v>0</v>
      </c>
      <c r="D40" s="27" t="n">
        <v>0</v>
      </c>
      <c r="E40" s="27">
        <f>B40</f>
        <v/>
      </c>
      <c r="F40" s="27">
        <f>E40+C40</f>
        <v/>
      </c>
      <c r="G40" s="27">
        <f>F40+D40</f>
        <v/>
      </c>
      <c r="H40" s="27" t="n">
        <v>0</v>
      </c>
      <c r="I40" s="27" t="n">
        <v>0</v>
      </c>
      <c r="J40" s="27" t="n">
        <v>0</v>
      </c>
      <c r="K40" s="27" t="inlineStr">
        <is>
          <t>Not found; the DOME events are absent (F048, F067).</t>
        </is>
      </c>
    </row>
    <row r="41" ht="18.75" customHeight="1" s="17">
      <c r="A41" s="27" t="inlineStr">
        <is>
          <t>poc7_bagit.py (step 7): SIP creation (DPM111)</t>
        </is>
      </c>
      <c r="B41" s="27" t="n">
        <v>1</v>
      </c>
      <c r="C41" s="27" t="n">
        <v>0</v>
      </c>
      <c r="D41" s="27" t="n">
        <v>0</v>
      </c>
      <c r="E41" s="27">
        <f>B41</f>
        <v/>
      </c>
      <c r="F41" s="27">
        <f>E41+C41</f>
        <v/>
      </c>
      <c r="G41" s="27">
        <f>F41+D41</f>
        <v/>
      </c>
      <c r="H41" s="27" t="n">
        <v>0</v>
      </c>
      <c r="I41" s="27" t="n">
        <v>0</v>
      </c>
      <c r="J41" s="27" t="n">
        <v>0</v>
      </c>
      <c r="K41" s="27" t="inlineStr">
        <is>
          <t>Not found; SIP creation is absent (F049).</t>
        </is>
      </c>
    </row>
    <row r="42" ht="63.75" customHeight="1" s="17">
      <c r="A42" s="27" t="inlineStr">
        <is>
          <t>poc2_droid.py, poc4_verapdf.py: only as fixity originators of the DROID and veraPDF reports they write (DPM47)</t>
        </is>
      </c>
      <c r="B42" s="27" t="n">
        <v>2</v>
      </c>
      <c r="C42" s="27" t="n">
        <v>0</v>
      </c>
      <c r="D42" s="27" t="n">
        <v>0</v>
      </c>
      <c r="E42" s="27">
        <f>B42</f>
        <v/>
      </c>
      <c r="F42" s="27">
        <f>E42+C42</f>
        <v/>
      </c>
      <c r="G42" s="27">
        <f>F42+D42</f>
        <v/>
      </c>
      <c r="H42" s="27" t="n">
        <v>0</v>
      </c>
      <c r="I42" s="27" t="n">
        <v>0</v>
      </c>
      <c r="J42" s="27" t="n">
        <v>0</v>
      </c>
      <c r="K42" s="27" t="inlineStr">
        <is>
          <t>Agents only if the script computes the report's digest; if all digests are computed at bagging, poc7 is the originator and these two are not agents (profile Open item Stage scripts). No fixity originator is written at all (F015).</t>
        </is>
      </c>
    </row>
    <row r="43" ht="48.75" customHeight="1" s="17">
      <c r="A43" s="27" t="inlineStr">
        <is>
          <t>poc8_ingest_worker.py, poc9_ocfl_ingest.py (steps 8, 9): ingest fixity verification and AIP creation (DPM112, DPM113)</t>
        </is>
      </c>
      <c r="B43" s="27" t="n">
        <v>2</v>
      </c>
      <c r="C43" s="27" t="n">
        <v>0</v>
      </c>
      <c r="D43" s="27" t="n">
        <v>0</v>
      </c>
      <c r="E43" s="27">
        <f>B43</f>
        <v/>
      </c>
      <c r="F43" s="27">
        <f>E43+C43</f>
        <v/>
      </c>
      <c r="G43" s="27">
        <f>F43+D43</f>
        <v/>
      </c>
      <c r="H43" s="27" t="n">
        <v>0</v>
      </c>
      <c r="I43" s="27" t="n">
        <v>0</v>
      </c>
      <c r="J43" s="27" t="n">
        <v>0</v>
      </c>
      <c r="K43" s="27" t="inlineStr">
        <is>
          <t>Not found; both events are absent (F050).</t>
        </is>
      </c>
    </row>
    <row r="44" ht="18.75" customHeight="1" s="17">
      <c r="A44" s="27" t="inlineStr">
        <is>
          <t>Aspose.PDF for C++ (conversion engine)</t>
        </is>
      </c>
      <c r="B44" s="27" t="n">
        <v>1</v>
      </c>
      <c r="C44" s="27" t="n">
        <v>0</v>
      </c>
      <c r="D44" s="27" t="n">
        <v>0</v>
      </c>
      <c r="E44" s="27">
        <f>B44</f>
        <v/>
      </c>
      <c r="F44" s="27">
        <f>E44+C44</f>
        <v/>
      </c>
      <c r="G44" s="27">
        <f>F44+D44</f>
        <v/>
      </c>
      <c r="H44" s="27" t="n">
        <v>1</v>
      </c>
      <c r="I44" s="27" t="n">
        <v>1</v>
      </c>
      <c r="J44" s="27" t="n">
        <v>1</v>
      </c>
      <c r="K44" s="27" t="inlineStr">
        <is>
          <t>Found as Aspose.PDF for .NET, without version (F043, F052).</t>
        </is>
      </c>
    </row>
    <row r="45" ht="18.75" customHeight="1" s="17">
      <c r="A45" s="27" t="inlineStr">
        <is>
          <t>veraPDF</t>
        </is>
      </c>
      <c r="B45" s="27" t="n">
        <v>1</v>
      </c>
      <c r="C45" s="27" t="n">
        <v>0</v>
      </c>
      <c r="D45" s="27" t="n">
        <v>0</v>
      </c>
      <c r="E45" s="27">
        <f>B45</f>
        <v/>
      </c>
      <c r="F45" s="27">
        <f>E45+C45</f>
        <v/>
      </c>
      <c r="G45" s="27">
        <f>F45+D45</f>
        <v/>
      </c>
      <c r="H45" s="27" t="n">
        <v>1</v>
      </c>
      <c r="I45" s="27" t="n">
        <v>1</v>
      </c>
      <c r="J45" s="27" t="n">
        <v>1</v>
      </c>
      <c r="K45" s="27" t="inlineStr">
        <is>
          <t>Found without version (F052).</t>
        </is>
      </c>
    </row>
    <row r="46" ht="18.75" customHeight="1" s="17">
      <c r="A46" s="27" t="inlineStr">
        <is>
          <t>DROID, with its signature-file version</t>
        </is>
      </c>
      <c r="B46" s="27" t="n">
        <v>1</v>
      </c>
      <c r="C46" s="27" t="n">
        <v>0</v>
      </c>
      <c r="D46" s="27" t="n">
        <v>0</v>
      </c>
      <c r="E46" s="27">
        <f>B46</f>
        <v/>
      </c>
      <c r="F46" s="27">
        <f>E46+C46</f>
        <v/>
      </c>
      <c r="G46" s="27">
        <f>F46+D46</f>
        <v/>
      </c>
      <c r="H46" s="27" t="n">
        <v>1</v>
      </c>
      <c r="I46" s="27" t="n">
        <v>1</v>
      </c>
      <c r="J46" s="27" t="n">
        <v>1</v>
      </c>
      <c r="K46" s="27" t="inlineStr">
        <is>
          <t>Found without version or signature file (F052).</t>
        </is>
      </c>
    </row>
    <row r="47" ht="78.75" customHeight="1" s="17">
      <c r="A47" s="27" t="inlineStr">
        <is>
          <t>Not agents: RUN_DPR.py, dpr_workflow.py, dpr_stage_runner.py, dpr_error.py, poc_monitor.py (orchestrate or monitor); poc0_ready.py (batch selection, outside PREMIS); DprPdfaConverter (profile Open item Conversion program)</t>
        </is>
      </c>
      <c r="B47" s="27" t="n">
        <v>0</v>
      </c>
      <c r="C47" s="27" t="n">
        <v>0</v>
      </c>
      <c r="D47" s="27" t="n">
        <v>0</v>
      </c>
      <c r="E47" s="27">
        <f>B47</f>
        <v/>
      </c>
      <c r="F47" s="27">
        <f>E47+C47</f>
        <v/>
      </c>
      <c r="G47" s="27">
        <f>F47+D47</f>
        <v/>
      </c>
      <c r="H47" s="27" t="n">
        <v>0</v>
      </c>
      <c r="I47" s="27" t="n">
        <v>0</v>
      </c>
      <c r="J47" s="27" t="n">
        <v>0</v>
      </c>
      <c r="K47" s="27" t="inlineStr">
        <is>
          <t>DPM84: scripts that only orchestrate, schedule or monitor the stages are not agents. To confirm: specific_step1.py (Independent workflow) copies files out of DOL before poc1_builder.py runs; if it performs the copy that DPM104 verifies, it is an agent.</t>
        </is>
      </c>
    </row>
    <row r="48" ht="63.75" customHeight="1" s="17">
      <c r="A48" s="27" t="inlineStr">
        <is>
          <t>Total</t>
        </is>
      </c>
      <c r="B48" s="27">
        <f>SUM(B36:B47)</f>
        <v/>
      </c>
      <c r="C48" s="27">
        <f>SUM(C36:C47)</f>
        <v/>
      </c>
      <c r="D48" s="27">
        <f>SUM(D36:D47)</f>
        <v/>
      </c>
      <c r="E48" s="27">
        <f>SUM(E36:E47)</f>
        <v/>
      </c>
      <c r="F48" s="27">
        <f>SUM(F36:F47)</f>
        <v/>
      </c>
      <c r="G48" s="27">
        <f>SUM(G36:G47)</f>
        <v/>
      </c>
      <c r="H48" s="27">
        <f>SUM(H36:H47)</f>
        <v/>
      </c>
      <c r="I48" s="27">
        <f>SUM(I36:I47)</f>
        <v/>
      </c>
      <c r="J48" s="27">
        <f>SUM(J36:J47)</f>
        <v/>
      </c>
      <c r="K48" s="27" t="inlineStr">
        <is>
          <t>Expected 13, or 11 if digests of reports are computed at bagging. Found: the same five in every version, identified by name, not agent-registry UUID (F051). A new tool or script version adds an agent (DPM84).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58" customWidth="1" style="16" min="1" max="1"/>
    <col width="68" customWidth="1" style="16" min="2" max="4"/>
    <col width="12" customWidth="1" style="16" min="5" max="6"/>
    <col width="55" customWidth="1" style="16" min="7" max="7"/>
  </cols>
  <sheetData>
    <row r="1" ht="19.5" customHeight="1" s="17">
      <c r="A1" s="21" t="inlineStr">
        <is>
          <t>Logical path</t>
        </is>
      </c>
      <c r="B1" s="21" t="inlineStr">
        <is>
          <t>v1 SHA-512</t>
        </is>
      </c>
      <c r="C1" s="21" t="inlineStr">
        <is>
          <t>v2 SHA-512</t>
        </is>
      </c>
      <c r="D1" s="21" t="inlineStr">
        <is>
          <t>v3 SHA-512</t>
        </is>
      </c>
      <c r="E1" s="21" t="inlineStr">
        <is>
          <t>v2 vs v1</t>
        </is>
      </c>
      <c r="F1" s="21" t="inlineStr">
        <is>
          <t>v3 vs v2</t>
        </is>
      </c>
      <c r="G1" s="21" t="inlineStr">
        <is>
          <t>Note</t>
        </is>
      </c>
    </row>
    <row r="2" ht="33.75" customHeight="1" s="17">
      <c r="A2" s="25" t="inlineStr">
        <is>
          <t>documentation/2026_011922_dome_sql_extraction.json</t>
        </is>
      </c>
      <c r="B2" s="31" t="inlineStr">
        <is>
          <t>9bdd986dbcea8a84313a2cf7dc384882d53860e2c7738561adc623adc664ac071b0381509df8c6aa2c721407f264b967d1815e4584023b87546325eaa88c5d59</t>
        </is>
      </c>
      <c r="C2" s="31" t="inlineStr">
        <is>
          <t>25c28f9ffec60578b9f8f99fba2893498355a975fbf31e258477e3cbd202d77e6b6091f759f9cac4b6dd2b476f0e739cfb0aee5b545eed87ef5a7c133de08435</t>
        </is>
      </c>
      <c r="D2" s="31" t="inlineStr">
        <is>
          <t>cee3b1d8be80846b9ceae766d14b2b336291785ca140d1f8b56a95ca77ab48c0ca2ddfe42531de3a4ff53edd6dc2d172117917fcbcaedb656d34989d561903bf</t>
        </is>
      </c>
      <c r="E2" s="25">
        <f>IF(C2="—","—",IF(B2="—","new",IF(C2=B2,"unchanged","changed")))</f>
        <v/>
      </c>
      <c r="F2" s="25">
        <f>IF(D2="—","—",IF(C2="—","new",IF(D2=C2,"unchanged","changed")))</f>
        <v/>
      </c>
      <c r="G2" s="25" t="inlineStr">
        <is>
          <t>Rewritten in every version; differs only in extracted_utc (F062; F026).</t>
        </is>
      </c>
    </row>
    <row r="3" ht="33.75" customHeight="1" s="17">
      <c r="A3" s="25" t="inlineStr">
        <is>
          <t>documentation/2026_011922_droid_export.csv</t>
        </is>
      </c>
      <c r="B3" s="31" t="inlineStr">
        <is>
          <t>da9cd965b557a548efb9e0af28dc1cb5986f12434926e8c74763d0e59f4c0b216604a6d8cc1ed6fd4af157d53e9b4d7481f126362eec5d961d2a913baa0ebee8</t>
        </is>
      </c>
      <c r="C3" s="31" t="inlineStr">
        <is>
          <t>a777a726957c7430f8069109e7267dce107aaf4d2ebc7370a5ccb3f2f79e976e5ac70f67501a3038fb65e24674d7c161d06adf54b85086da8f0f4410f4d20982</t>
        </is>
      </c>
      <c r="D3" s="31" t="inlineStr">
        <is>
          <t>f3167f042ad0e17c3b950b9ef3ded19e864fd2c3a6b8954bdca80258663b3f2a8986b437e023c95bf664784b63bc8f9da0a4179e45bccaacfcb02d152f3f5aa8</t>
        </is>
      </c>
      <c r="E3" s="25">
        <f>IF(C3="—","—",IF(B3="—","new",IF(C3=B3,"unchanged","changed")))</f>
        <v/>
      </c>
      <c r="F3" s="25">
        <f>IF(D3="—","—",IF(C3="—","new",IF(D3=C3,"unchanged","changed")))</f>
        <v/>
      </c>
      <c r="G3" s="25" t="inlineStr">
        <is>
          <t>A new report in every version at the same path (F066; profile Open item DROID report).</t>
        </is>
      </c>
    </row>
    <row r="4" ht="33.75" customHeight="1" s="17">
      <c r="A4" s="25" t="inlineStr">
        <is>
          <t>documentation/2026_011922_en_G_SPS_NCHL890A1_conv_aspose.xml</t>
        </is>
      </c>
      <c r="B4" s="31" t="inlineStr">
        <is>
          <t>—</t>
        </is>
      </c>
      <c r="C4" s="31" t="inlineStr">
        <is>
          <t>—</t>
        </is>
      </c>
      <c r="D4" s="31" t="inlineStr">
        <is>
          <t>7f8d5792f8bc9bdea5d7be1f59ad333000f455dc4c58db87d7eee11388db280fa622b3865149fcd67b25c16306e72674e2db4aeb81b26bf5bff083f8ede531d2</t>
        </is>
      </c>
      <c r="E4" s="25">
        <f>IF(C4="—","—",IF(B4="—","new",IF(C4=B4,"unchanged","changed")))</f>
        <v/>
      </c>
      <c r="F4" s="25">
        <f>IF(D4="—","—",IF(C4="—","new",IF(D4=C4,"unchanged","changed")))</f>
        <v/>
      </c>
      <c r="G4" s="25" t="inlineStr">
        <is>
          <t>Added in v3.</t>
        </is>
      </c>
    </row>
    <row r="5" ht="33.75" customHeight="1" s="17">
      <c r="A5" s="25" t="inlineStr">
        <is>
          <t>documentation/2026_011922_en_G_SPS_NCHL890A1_qa_pypdf.json</t>
        </is>
      </c>
      <c r="B5" s="31" t="inlineStr">
        <is>
          <t>—</t>
        </is>
      </c>
      <c r="C5" s="31" t="inlineStr">
        <is>
          <t>—</t>
        </is>
      </c>
      <c r="D5" s="31" t="inlineStr">
        <is>
          <t>f6edd3159e211159c0e3fbb5542e049add79ed2b788aa31f0ea6ed4b22193740158ff33ed8d1643968d49822352071a6a4aeb7560a30d50d63ea99b944c201ec</t>
        </is>
      </c>
      <c r="E5" s="25">
        <f>IF(C5="—","—",IF(B5="—","new",IF(C5=B5,"unchanged","changed")))</f>
        <v/>
      </c>
      <c r="F5" s="25">
        <f>IF(D5="—","—",IF(C5="—","new",IF(D5=C5,"unchanged","changed")))</f>
        <v/>
      </c>
      <c r="G5" s="25" t="inlineStr">
        <is>
          <t>Added in v3.</t>
        </is>
      </c>
    </row>
    <row r="6" ht="33.75" customHeight="1" s="17">
      <c r="A6" s="25" t="inlineStr">
        <is>
          <t>documentation/2026_011922_en_G_SPS_NCHL890A1_val_verapdf.xml</t>
        </is>
      </c>
      <c r="B6" s="31" t="inlineStr">
        <is>
          <t>—</t>
        </is>
      </c>
      <c r="C6" s="31" t="inlineStr">
        <is>
          <t>—</t>
        </is>
      </c>
      <c r="D6" s="31" t="inlineStr">
        <is>
          <t>b892dc0f778f48e44579e8af087cb3f3d9a76b21c34e7a8777a667392d9fdfa2ee9c6c5927d3c00bec680580a3cb6ba3cf4bdf1aa7af257beab31b28db87a23d</t>
        </is>
      </c>
      <c r="E6" s="25">
        <f>IF(C6="—","—",IF(B6="—","new",IF(C6=B6,"unchanged","changed")))</f>
        <v/>
      </c>
      <c r="F6" s="25">
        <f>IF(D6="—","—",IF(C6="—","new",IF(D6=C6,"unchanged","changed")))</f>
        <v/>
      </c>
      <c r="G6" s="25" t="inlineStr">
        <is>
          <t>Added in v3.</t>
        </is>
      </c>
    </row>
    <row r="7" ht="33.75" customHeight="1" s="17">
      <c r="A7" s="25" t="inlineStr">
        <is>
          <t>documentation/2026_011922_es_G_SPS_NCHL890A1_conv_aspose.xml</t>
        </is>
      </c>
      <c r="B7" s="31" t="inlineStr">
        <is>
          <t>92969eff310508a00179923e1fc4e430967edb803b28ec917a27fe4338a430a2888e2b1c587ca0373e8b875355285ecc8953224e3126a127230f52e62d3cb66e</t>
        </is>
      </c>
      <c r="C7" s="31" t="inlineStr">
        <is>
          <t>94715eba7afb620a1d10d6d1ff63ef5efad73ebf866b358365d388445978b7685334a4ca69f4bd8fca042074f66fa4577d0afded3305e2c22eecd96da7959ce7</t>
        </is>
      </c>
      <c r="D7" s="31" t="inlineStr">
        <is>
          <t>6fccda429863ff7110a4789ec96a28e9eb7ed9c220a415fd514c1840e14f99b4713aecbd0aeccea994c2ec118d326161ad3bb4d34070a1d0082dfe20170f7ee0</t>
        </is>
      </c>
      <c r="E7" s="25">
        <f>IF(C7="—","—",IF(B7="—","new",IF(C7=B7,"unchanged","changed")))</f>
        <v/>
      </c>
      <c r="F7" s="25">
        <f>IF(D7="—","—",IF(C7="—","new",IF(D7=C7,"unchanged","changed")))</f>
        <v/>
      </c>
      <c r="G7" s="25" t="inlineStr">
        <is>
          <t>Regenerated in v2 and v3 with the re-converted master (F062).</t>
        </is>
      </c>
    </row>
    <row r="8" ht="33.75" customHeight="1" s="17">
      <c r="A8" s="25" t="inlineStr">
        <is>
          <t>documentation/2026_011922_es_G_SPS_NCHL890A1_qa_pypdf.json</t>
        </is>
      </c>
      <c r="B8" s="31" t="inlineStr">
        <is>
          <t>88fa54fd399c9003d86668cf2223a784ac34d7696b964c8fb06f25c1915eb51f37ec05eec4ccdad961d59ba1bd3a15ab8cd58575152bd4778245c1276b524a3e</t>
        </is>
      </c>
      <c r="C8" s="31" t="inlineStr">
        <is>
          <t>f1275cf152bd3362f2f8624fa87014b9cc5e73f9d0c15c6f3c49e5c7a3d7417ff885271c0b4d5c526d6fc0aa2b9f8e17dfffbbfc9d67d6ddce344b4013b23365</t>
        </is>
      </c>
      <c r="D8" s="31" t="inlineStr">
        <is>
          <t>9ceba38c690e9322e1b94998e9ed4f92220bd558ef03653dccd39be016812d3c6834484f48d336cd331c51f2ed119c9bb005d3e3a413c11f4fea2e3889de2906</t>
        </is>
      </c>
      <c r="E8" s="25">
        <f>IF(C8="—","—",IF(B8="—","new",IF(C8=B8,"unchanged","changed")))</f>
        <v/>
      </c>
      <c r="F8" s="25">
        <f>IF(D8="—","—",IF(C8="—","new",IF(D8=C8,"unchanged","changed")))</f>
        <v/>
      </c>
      <c r="G8" s="25" t="inlineStr">
        <is>
          <t>Regenerated in v2 and v3 with the re-converted master (F062).</t>
        </is>
      </c>
    </row>
    <row r="9" ht="33.75" customHeight="1" s="17">
      <c r="A9" s="25" t="inlineStr">
        <is>
          <t>documentation/2026_011922_es_G_SPS_NCHL890A1_val_verapdf.xml</t>
        </is>
      </c>
      <c r="B9" s="31" t="inlineStr">
        <is>
          <t>547636548642c1e4d2cb506582e79e3e13f4fe80c07c2f06916db25eb11683e8bf863094def1fae17ad9ff6d75a0cd637eefd9fa6dda3fe1fdb2567e7ff8d2e1</t>
        </is>
      </c>
      <c r="C9" s="31" t="inlineStr">
        <is>
          <t>fa7ca6363698f157f3141241cfbcc0853b2ae2e20db708f2e009a0df338382699008c36f0c467e41614a7d04010bd7a5418a1d783a6a84dbf4ae27fcde290c67</t>
        </is>
      </c>
      <c r="D9" s="31" t="inlineStr">
        <is>
          <t>453d45200b3c8f64d09c44f3abee3b24d38e2b2a7b13f6d2ee35b1be0cdf95290c91f589ee69c2fae9a9f15e10d9aeb993c6d6759a8193c898b9a4fa2f4b5b02</t>
        </is>
      </c>
      <c r="E9" s="25">
        <f>IF(C9="—","—",IF(B9="—","new",IF(C9=B9,"unchanged","changed")))</f>
        <v/>
      </c>
      <c r="F9" s="25">
        <f>IF(D9="—","—",IF(C9="—","new",IF(D9=C9,"unchanged","changed")))</f>
        <v/>
      </c>
      <c r="G9" s="25" t="inlineStr">
        <is>
          <t>Regenerated in v2 and v3 with the re-converted master (F062).</t>
        </is>
      </c>
    </row>
    <row r="10" ht="33.75" customHeight="1" s="17">
      <c r="A10" s="25" t="inlineStr">
        <is>
          <t>documentation/2026_011922_fr_G_SPS_NCHL890A1_conv_aspose.xml</t>
        </is>
      </c>
      <c r="B10" s="31" t="inlineStr">
        <is>
          <t>—</t>
        </is>
      </c>
      <c r="C10" s="31" t="inlineStr">
        <is>
          <t>c5dfcc23634940644285a8da244f3fee43f34a30b3d8d517a0e83f88e6fdf0a3fb204af11989a5586155be8ac6b7764396924d13660d1014b024dd62a175c1ab</t>
        </is>
      </c>
      <c r="D10" s="31" t="inlineStr">
        <is>
          <t>a6e8e20d4a9dd6b3047797e0ae05a97114f75e84d8d564037fed24d39d9198c9fa6617b7a8508dcdc6f488ccab727af588272ff66e4a7be0a88526d5e426a983</t>
        </is>
      </c>
      <c r="E10" s="25">
        <f>IF(C10="—","—",IF(B10="—","new",IF(C10=B10,"unchanged","changed")))</f>
        <v/>
      </c>
      <c r="F10" s="25">
        <f>IF(D10="—","—",IF(C10="—","new",IF(D10=C10,"unchanged","changed")))</f>
        <v/>
      </c>
      <c r="G10" s="25" t="inlineStr">
        <is>
          <t>Added in v2; regenerated in v3 with the re-converted master (F062).</t>
        </is>
      </c>
    </row>
    <row r="11" ht="33.75" customHeight="1" s="17">
      <c r="A11" s="25" t="inlineStr">
        <is>
          <t>documentation/2026_011922_fr_G_SPS_NCHL890A1_qa_pypdf.json</t>
        </is>
      </c>
      <c r="B11" s="31" t="inlineStr">
        <is>
          <t>—</t>
        </is>
      </c>
      <c r="C11" s="31" t="inlineStr">
        <is>
          <t>9da8c20517a9bd3affbf4627482af695a01f4b6b9f551872cc742c943529ca10c081b12bf9ecadbe7ec8807816a119b7700b1cbebee7f35902426bcb5f90ca7f</t>
        </is>
      </c>
      <c r="D11" s="31" t="inlineStr">
        <is>
          <t>62ee31b84bdec15d4f06bbcf1e02a5f4ded85b0df3685fb3ec5ab004da7cd9551f2669b591af60f31203c0787fa78c0e367c30d17ec76d8a83867d83fbb7dd0a</t>
        </is>
      </c>
      <c r="E11" s="25">
        <f>IF(C11="—","—",IF(B11="—","new",IF(C11=B11,"unchanged","changed")))</f>
        <v/>
      </c>
      <c r="F11" s="25">
        <f>IF(D11="—","—",IF(C11="—","new",IF(D11=C11,"unchanged","changed")))</f>
        <v/>
      </c>
      <c r="G11" s="25" t="inlineStr">
        <is>
          <t>Added in v2; regenerated in v3 with the re-converted master (F062).</t>
        </is>
      </c>
    </row>
    <row r="12" ht="33.75" customHeight="1" s="17">
      <c r="A12" s="25" t="inlineStr">
        <is>
          <t>documentation/2026_011922_fr_G_SPS_NCHL890A1_val_verapdf.xml</t>
        </is>
      </c>
      <c r="B12" s="31" t="inlineStr">
        <is>
          <t>—</t>
        </is>
      </c>
      <c r="C12" s="31" t="inlineStr">
        <is>
          <t>207dd14a7e16ee666a40361b8bf9a29f892468dced91ec4e551f9d9ce63237617226bad4d4410001cee938fd79968fe88c46cf0898abbf9cb087fa8d5961e67e</t>
        </is>
      </c>
      <c r="D12" s="31" t="inlineStr">
        <is>
          <t>f17bda5c1a65b817c40a81ff2f4d7b41021606c59c6e76362325a4d98c784cb110738d1ed606b4ec05bb317f9d45d376e92e129ff11486ce9b69abdfba037ba8</t>
        </is>
      </c>
      <c r="E12" s="25">
        <f>IF(C12="—","—",IF(B12="—","new",IF(C12=B12,"unchanged","changed")))</f>
        <v/>
      </c>
      <c r="F12" s="25">
        <f>IF(D12="—","—",IF(C12="—","new",IF(D12=C12,"unchanged","changed")))</f>
        <v/>
      </c>
      <c r="G12" s="25" t="inlineStr">
        <is>
          <t>Added in v2; regenerated in v3 with the re-converted master (F062).</t>
        </is>
      </c>
    </row>
    <row r="13" ht="33.75" customHeight="1" s="17">
      <c r="A13" s="25" t="inlineStr">
        <is>
          <t>metadata/2026_011922_dome.xml</t>
        </is>
      </c>
      <c r="B13" s="31" t="inlineStr">
        <is>
          <t>6aacbca2ece69e1088c0ae7b71ece9c347ca29a5eaa78cc257092f96816f55018bd74b27fed86e8f263d2c62c4aa9984f0be9856936bb801c896efd756fe1901</t>
        </is>
      </c>
      <c r="C13" s="31" t="inlineStr">
        <is>
          <t>1168f45cfaa6af471cbe371682a78ac506df473c405a1c4f4a043abc775167feba2570a8df2f9ecd0b24fddd391e3094e941167341f50df48f57c39731685a35</t>
        </is>
      </c>
      <c r="D13" s="31" t="inlineStr">
        <is>
          <t>8ec5b091cc1fdc054f192eca842f6cc25cd1a4b6ef6e637bed7d0f932689f203ce50f895e5c2994e1c5e5036f9bc0cbec1c44595eaadbd2a8ff1945d6da4168c</t>
        </is>
      </c>
      <c r="E13" s="25">
        <f>IF(C13="—","—",IF(B13="—","new",IF(C13=B13,"unchanged","changed")))</f>
        <v/>
      </c>
      <c r="F13" s="25">
        <f>IF(D13="—","—",IF(C13="—","new",IF(D13=C13,"unchanged","changed")))</f>
        <v/>
      </c>
      <c r="G13" s="25" t="inlineStr">
        <is>
          <t>Changes in every version: DOME lists the files of each language, so a new language version changes it. The change is legitimate, but no DOME revision event is written (F067).</t>
        </is>
      </c>
    </row>
    <row r="14" ht="33.75" customHeight="1" s="17">
      <c r="A14" s="25" t="inlineStr">
        <is>
          <t>metadata/2026_011922_mets.xml</t>
        </is>
      </c>
      <c r="B14" s="31" t="inlineStr">
        <is>
          <t>49acabf0a88455defcdbdc8306d22c87567d5b88a3d16bca307300def16790e5a4ac443f2c8c0f765b5a2b270fbf247d04c454203fdd04cc28c4f7b946bd8dcf</t>
        </is>
      </c>
      <c r="C14" s="31" t="inlineStr">
        <is>
          <t>3be29d1caa39911492c8442d3a603bb5a2d83dcb07eb67e324f2d43201d231da6aeb2ccec1649f43db281c2014530f7c3e66098299053394efac39a8f7b4b7c6</t>
        </is>
      </c>
      <c r="D14" s="31" t="inlineStr">
        <is>
          <t>eb00bf3706924d5bb26521e42e223faf80f7bd847c5b9c8eb541c7744e78adaa4673e366f5175b01f9c19ac6f3ba186f4646914aae6474e537ca7b52fd1bfb23</t>
        </is>
      </c>
      <c r="E14" s="25">
        <f>IF(C14="—","—",IF(B14="—","new",IF(C14=B14,"unchanged","changed")))</f>
        <v/>
      </c>
      <c r="F14" s="25">
        <f>IF(D14="—","—",IF(C14="—","new",IF(D14=C14,"unchanged","changed")))</f>
        <v/>
      </c>
      <c r="G14" s="25" t="inlineStr">
        <is>
          <t>Changes in every version, as expected (DPM11).</t>
        </is>
      </c>
    </row>
    <row r="15" ht="33.75" customHeight="1" s="17">
      <c r="A15" s="25" t="inlineStr">
        <is>
          <t>metadata/2026_011922_premis.xml</t>
        </is>
      </c>
      <c r="B15" s="31" t="inlineStr">
        <is>
          <t>0563f1ff15c420a7dd37a176ddc6354d506716e9ae8017ecc99e37b0565ff08dc9bc38314e8996c124ab13d5f35686e484391c746238909bfb599d8723d9cc68</t>
        </is>
      </c>
      <c r="C15" s="31" t="inlineStr">
        <is>
          <t>7e2b3352f5e51ba26b0a3139d67f45d71f18aee9d6cbefdcbe0a7ea0370ceb473dcd104b57bb2804a70d035aa3de730455c0a12ad135f86b0670f878d0a9575c</t>
        </is>
      </c>
      <c r="D15" s="31" t="inlineStr">
        <is>
          <t>b48233f666129c2ff564c0285cc5b0209610f6fb0d6199ed6477a397df02ae0b44c62dd3434b2270af3634db503e77b863847a7a91a178598e92b7fb9326b338</t>
        </is>
      </c>
      <c r="E15" s="25">
        <f>IF(C15="—","—",IF(B15="—","new",IF(C15=B15,"unchanged","changed")))</f>
        <v/>
      </c>
      <c r="F15" s="25">
        <f>IF(D15="—","—",IF(C15="—","new",IF(D15=C15,"unchanged","changed")))</f>
        <v/>
      </c>
      <c r="G15" s="25" t="inlineStr">
        <is>
          <t>Changes in every version, as expected (DPM1, DPM11); but regenerated rather than appended (F060).</t>
        </is>
      </c>
    </row>
    <row r="16" ht="33.75" customHeight="1" s="17">
      <c r="A16" s="25" t="inlineStr">
        <is>
          <t>representations/rep_1/data/en/2026_011922_en_G_SPS_NCHL890A1.docx</t>
        </is>
      </c>
      <c r="B16" s="31" t="inlineStr">
        <is>
          <t>—</t>
        </is>
      </c>
      <c r="C16" s="31" t="inlineStr">
        <is>
          <t>—</t>
        </is>
      </c>
      <c r="D16" s="31" t="inlineStr">
        <is>
          <t>29702d3d00360afb49d9c436ecab7e61afa8289d871a9639ebcbdf82bc43e4ac8efcab8a9b93bcd4d972161cf89c7881ba71b838a301e464f594f60bb99663c7</t>
        </is>
      </c>
      <c r="E16" s="25">
        <f>IF(C16="—","—",IF(B16="—","new",IF(C16=B16,"unchanged","changed")))</f>
        <v/>
      </c>
      <c r="F16" s="25">
        <f>IF(D16="—","—",IF(C16="—","new",IF(D16=C16,"unchanged","changed")))</f>
        <v/>
      </c>
      <c r="G16" s="25" t="inlineStr">
        <is>
          <t>Added in v3.</t>
        </is>
      </c>
    </row>
    <row r="17" ht="33.75" customHeight="1" s="17">
      <c r="A17" s="25" t="inlineStr">
        <is>
          <t>representations/rep_1/data/es/2026_011922_es_G_SPS_NCHL890A1.docx</t>
        </is>
      </c>
      <c r="B17" s="31" t="inlineStr">
        <is>
          <t>d7aa205f541005351eebae45a7ef41a20213ed47de6b64426edbed96390519f20fd6200c27a37bea24628ab9929fbe5421804865426705261105fdae0cb87b5d</t>
        </is>
      </c>
      <c r="C17" s="31" t="inlineStr">
        <is>
          <t>d7aa205f541005351eebae45a7ef41a20213ed47de6b64426edbed96390519f20fd6200c27a37bea24628ab9929fbe5421804865426705261105fdae0cb87b5d</t>
        </is>
      </c>
      <c r="D17" s="31" t="inlineStr">
        <is>
          <t>d7aa205f541005351eebae45a7ef41a20213ed47de6b64426edbed96390519f20fd6200c27a37bea24628ab9929fbe5421804865426705261105fdae0cb87b5d</t>
        </is>
      </c>
      <c r="E17" s="25">
        <f>IF(C17="—","—",IF(B17="—","new",IF(C17=B17,"unchanged","changed")))</f>
        <v/>
      </c>
      <c r="F17" s="25">
        <f>IF(D17="—","—",IF(C17="—","new",IF(D17=C17,"unchanged","changed")))</f>
        <v/>
      </c>
      <c r="G17" s="25" t="inlineStr">
        <is>
          <t>Unchanged in v2 and v3: OCFL stores the bytes once, in v1.</t>
        </is>
      </c>
    </row>
    <row r="18" ht="33.75" customHeight="1" s="17">
      <c r="A18" s="25" t="inlineStr">
        <is>
          <t>representations/rep_1/data/fr/2026_011922_fr_G_SPS_NCHL890A1.docx</t>
        </is>
      </c>
      <c r="B18" s="31" t="inlineStr">
        <is>
          <t>—</t>
        </is>
      </c>
      <c r="C18" s="31" t="inlineStr">
        <is>
          <t>3921ff0815b7b700bc55d88ee126f896433b127d488d965724ddaf45115ef7dac222ee1cdd4b1fa6246b90418c0471acb06c080f13400d8c37b5c63202790304</t>
        </is>
      </c>
      <c r="D18" s="31" t="inlineStr">
        <is>
          <t>3921ff0815b7b700bc55d88ee126f896433b127d488d965724ddaf45115ef7dac222ee1cdd4b1fa6246b90418c0471acb06c080f13400d8c37b5c63202790304</t>
        </is>
      </c>
      <c r="E18" s="25">
        <f>IF(C18="—","—",IF(B18="—","new",IF(C18=B18,"unchanged","changed")))</f>
        <v/>
      </c>
      <c r="F18" s="25">
        <f>IF(D18="—","—",IF(C18="—","new",IF(D18=C18,"unchanged","changed")))</f>
        <v/>
      </c>
      <c r="G18" s="25" t="inlineStr">
        <is>
          <t>Added in v2; unchanged in v3.</t>
        </is>
      </c>
    </row>
    <row r="19" ht="33.75" customHeight="1" s="17">
      <c r="A19" s="25" t="inlineStr">
        <is>
          <t>representations/rep_2/data/en/2026_011922_en_G_SPS_NCHL890A1.pdf</t>
        </is>
      </c>
      <c r="B19" s="31" t="inlineStr">
        <is>
          <t>—</t>
        </is>
      </c>
      <c r="C19" s="31" t="inlineStr">
        <is>
          <t>—</t>
        </is>
      </c>
      <c r="D19" s="31" t="inlineStr">
        <is>
          <t>8d358106bb53c2fb396af311521400e84ae7350f6f3f358f09b740f96e39292410481d4913b8f55d0d2d5ecd2042c48f00dfe06babb0855d12c72435a0933883</t>
        </is>
      </c>
      <c r="E19" s="25">
        <f>IF(C19="—","—",IF(B19="—","new",IF(C19=B19,"unchanged","changed")))</f>
        <v/>
      </c>
      <c r="F19" s="25">
        <f>IF(D19="—","—",IF(C19="—","new",IF(D19=C19,"unchanged","changed")))</f>
        <v/>
      </c>
      <c r="G19" s="25" t="inlineStr">
        <is>
          <t>Added in v3.</t>
        </is>
      </c>
    </row>
    <row r="20" ht="33.75" customHeight="1" s="17">
      <c r="A20" s="25" t="inlineStr">
        <is>
          <t>representations/rep_2/data/es/2026_011922_es_G_SPS_NCHL890A1.pdf</t>
        </is>
      </c>
      <c r="B20" s="31" t="inlineStr">
        <is>
          <t>031ad18445335f8918ef544e0a3d8fb37ca9355b02d25fda6f197bc7840d50adfdafc68a9855477ee7c4cea10879ce253c7b4967ebbbb8efa449be79217e86b3</t>
        </is>
      </c>
      <c r="C20" s="31" t="inlineStr">
        <is>
          <t>c37138491aa3822bc8512ac814adbcae3e4c1ad8ee3d1af0af7a327e0f9ed043a30b3b6e8cfa121efcdf01e0cc729ab20db79c516adc0c64a262c02b7a3e145a</t>
        </is>
      </c>
      <c r="D20" s="31" t="inlineStr">
        <is>
          <t>5addec12baad7e0f5ce4551a8a0a9759cfddc1f599e1414de89fa725bf402ecec21f93e2304f7f95bde43a716818f2ee5d627ec23d9b447e1b2263c8de971cb3</t>
        </is>
      </c>
      <c r="E20" s="25">
        <f>IF(C20="—","—",IF(B20="—","new",IF(C20=B20,"unchanged","changed")))</f>
        <v/>
      </c>
      <c r="F20" s="25">
        <f>IF(D20="—","—",IF(C20="—","new",IF(D20=C20,"unchanged","changed")))</f>
        <v/>
      </c>
      <c r="G20" s="25" t="inlineStr">
        <is>
          <t>Master re-converted in v2 and v3 from an unchanged published PDF (F062).</t>
        </is>
      </c>
    </row>
    <row r="21" ht="33.75" customHeight="1" s="17">
      <c r="A21" s="25" t="inlineStr">
        <is>
          <t>representations/rep_2/data/fr/2026_011922_fr_G_SPS_NCHL890A1.pdf</t>
        </is>
      </c>
      <c r="B21" s="31" t="inlineStr">
        <is>
          <t>—</t>
        </is>
      </c>
      <c r="C21" s="31" t="inlineStr">
        <is>
          <t>bebeae14ecf6bea808e10445ab500d5cdac733ef4de9314f082bd98e6c392baf7a6667ede1414de8077119836d7f77148a9d61ab1ec3f5cf135dac3570a7fd73</t>
        </is>
      </c>
      <c r="D21" s="31" t="inlineStr">
        <is>
          <t>94f950b8bd3cb2bf1d89e352a534b379ba307d3e83b68a699f6a846b56198fb6fc328193d52ab7b2d630d9aac70642b8e8bc5a6dbd0cea8b02393fb129e5898b</t>
        </is>
      </c>
      <c r="E21" s="25">
        <f>IF(C21="—","—",IF(B21="—","new",IF(C21=B21,"unchanged","changed")))</f>
        <v/>
      </c>
      <c r="F21" s="25">
        <f>IF(D21="—","—",IF(C21="—","new",IF(D21=C21,"unchanged","changed")))</f>
        <v/>
      </c>
      <c r="G21" s="25" t="inlineStr">
        <is>
          <t>Added in v2; re-converted in v3 from an unchanged published PDF (F062).</t>
        </is>
      </c>
    </row>
    <row r="22" ht="33.75" customHeight="1" s="17"/>
    <row r="23" ht="33.75" customHeight="1" s="17">
      <c r="A23" s="21" t="inlineStr">
        <is>
          <t>Count</t>
        </is>
      </c>
      <c r="B23" s="21" t="n"/>
      <c r="C23" s="21" t="n"/>
      <c r="D23" s="21" t="n"/>
      <c r="E23" s="21" t="n"/>
      <c r="F23" s="21" t="n"/>
      <c r="G23" s="21" t="n"/>
    </row>
    <row r="24" ht="33.75" customHeight="1" s="17">
      <c r="A24" s="25" t="inlineStr">
        <is>
          <t>new</t>
        </is>
      </c>
      <c r="B24" s="25" t="n"/>
      <c r="C24" s="25" t="n"/>
      <c r="D24" s="25" t="n"/>
      <c r="E24" s="25">
        <f>COUNTIF(E$2:E$21,$A24)</f>
        <v/>
      </c>
      <c r="F24" s="25">
        <f>COUNTIF(F$2:F$21,$A24)</f>
        <v/>
      </c>
      <c r="G24" s="25" t="inlineStr">
        <is>
          <t>Agrees with Versions, Files added (5, 5).</t>
        </is>
      </c>
    </row>
    <row r="25" ht="33.75" customHeight="1" s="17">
      <c r="A25" s="25" t="inlineStr">
        <is>
          <t>changed</t>
        </is>
      </c>
      <c r="B25" s="25" t="n"/>
      <c r="C25" s="25" t="n"/>
      <c r="D25" s="25" t="n"/>
      <c r="E25" s="25">
        <f>COUNTIF(E$2:E$21,$A25)</f>
        <v/>
      </c>
      <c r="F25" s="25">
        <f>COUNTIF(F$2:F$21,$A25)</f>
        <v/>
      </c>
      <c r="G25" s="25" t="inlineStr">
        <is>
          <t>Agrees with Versions, Files changed (9, 13). Expected under language_added: 4 (PREMIS, METS, DOME, DROID report).</t>
        </is>
      </c>
    </row>
    <row r="26" ht="33.75" customHeight="1" s="17">
      <c r="A26" s="25" t="inlineStr">
        <is>
          <t>unchanged</t>
        </is>
      </c>
      <c r="B26" s="25" t="n"/>
      <c r="C26" s="25" t="n"/>
      <c r="D26" s="25" t="n"/>
      <c r="E26" s="25">
        <f>COUNTIF(E$2:E$21,$A26)</f>
        <v/>
      </c>
      <c r="F26" s="25">
        <f>COUNTIF(F$2:F$21,$A26)</f>
        <v/>
      </c>
      <c r="G26" s="25" t="inlineStr">
        <is>
          <t>Only the DOCX files carry over unchanged.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16" min="1" max="1"/>
    <col width="26" customWidth="1" style="16" min="2" max="2"/>
    <col width="50" customWidth="1" style="16" min="3" max="3"/>
    <col width="48" customWidth="1" style="16" min="4" max="5"/>
    <col width="46" customWidth="1" style="16" min="6" max="6"/>
    <col width="14" customWidth="1" style="16" min="7" max="7"/>
    <col width="10" customWidth="1" style="16" min="8" max="8"/>
  </cols>
  <sheetData>
    <row r="1" ht="31.5" customHeight="1" s="17">
      <c r="A1" s="21" t="inlineStr">
        <is>
          <t>ID</t>
        </is>
      </c>
      <c r="B1" s="21" t="inlineStr">
        <is>
          <t>Topic</t>
        </is>
      </c>
      <c r="C1" s="21" t="inlineStr">
        <is>
          <t>Workflow Documentation v2.5, 2026-10-05</t>
        </is>
      </c>
      <c r="D1" s="21" t="inlineStr">
        <is>
          <t>PREMIS profile v0.4, 2026-10-12</t>
        </is>
      </c>
      <c r="E1" s="21" t="inlineStr">
        <is>
          <t>Test package of 2026-10-09 (2026_011922)</t>
        </is>
      </c>
      <c r="F1" s="21" t="inlineStr">
        <is>
          <t>Proposed</t>
        </is>
      </c>
      <c r="G1" s="21" t="inlineStr">
        <is>
          <t>Findings</t>
        </is>
      </c>
      <c r="H1" s="21" t="inlineStr">
        <is>
          <t>Status</t>
        </is>
      </c>
    </row>
    <row r="2" ht="96" customHeight="1" s="17">
      <c r="A2" s="27" t="inlineStr">
        <is>
          <t>W01</t>
        </is>
      </c>
      <c r="B2" s="25" t="inlineStr">
        <is>
          <t>Any source change regenerates every derived file</t>
        </is>
      </c>
      <c r="C2" s="25" t="inlineStr">
        <is>
          <t>As soon as anything changes for a document (a new language arrives, or a source file changes), everything the pipeline produced for it is thrown away and made again: the PDF/A masters, their validation and quality reports, and the generated metadata (§4.4, §10). A later section (§5.1) says the opposite: files whose source has not changed are not converted again. Workflow Documentation v2.5 thus contradicts itself.</t>
        </is>
      </c>
      <c r="D2" s="25" t="inlineStr">
        <is>
          <t>A new version adds only what is new. When a new language is published, the version adds that language's source files, the PDF/A master made from its published PDF, and the master's reports. The published PDF is not kept: it is only described in PREMIS, as the source the master was made from. The languages already held are left alone. A master is replaced only when its published PDF changes in DOL, or when it is reconverted on purpose (a master reconversion version).</t>
        </is>
      </c>
      <c r="E2" s="25" t="inlineStr">
        <is>
          <t>The package follows the "rebuild everything" rule. The Spanish published PDF never changed in DOL, yet its master was made again when French was added (v2) and again when English was added (v3); the French master was made again in v3. Each new master is identical to the one before except for its internal timestamps and document ID. The quality and validation reports were regenerated each time, and so was the DOL metadata extract. The repository now stores three copies of the Spanish master and two of the French, each a separate file that PREMIS must describe and that has to be kept forever.</t>
        </is>
      </c>
      <c r="F2" s="25" t="inlineStr">
        <is>
          <t>Rebuild only what a change actually affects: outputs made from a new or changed source are produced again; everything else is carried forward unchanged from the previous version. Resolve the contradiction between §4.4 and §5.1.</t>
        </is>
      </c>
      <c r="G2" s="25" t="inlineStr">
        <is>
          <t>F062, F066, F067</t>
        </is>
      </c>
      <c r="H2" s="25" t="inlineStr">
        <is>
          <t>Open</t>
        </is>
      </c>
    </row>
    <row r="3" ht="81" customHeight="1" s="17">
      <c r="A3" s="27" t="inlineStr">
        <is>
          <t>W02</t>
        </is>
      </c>
      <c r="B3" s="25" t="inlineStr">
        <is>
          <t>No-change test on regenerated outputs</t>
        </is>
      </c>
      <c r="C3" s="25" t="inlineStr">
        <is>
          <t>Just before storing, the pipeline (PoC 9) compares what it is about to store with what the repository already holds, file by file, by path and checksum (§5.1). If everything is identical, it creates no new version and records "no change" (STEP_9_OCFL_NO_CHANGE).</t>
        </is>
      </c>
      <c r="D3" s="25" t="inlineStr">
        <is>
          <t>A new version is created only when there is a reason for one: the reason the document was picked up from DOL, recorded as its selection basis (a new document, a new language, a revised document, a metadata change…). If nothing has changed in DOL (for example, a document re-issued with none of its languages changed), no version is created (Excluded facts). Whether a version is needed is decided on the sources, comparing the published PDF's checksum, not the master's, before the final comparison (Consequential changes).</t>
        </is>
      </c>
      <c r="E3" s="25" t="inlineStr">
        <is>
          <t>The package contains no run in which nothing changed, so the no-change test itself is not exercised. It shows that a regenerated file is never byte-identical to its predecessor, even from the same source. The Spanish master was produced three times from the same published PDF (QA report source SHA-512 9986bff4… in v1–v3) and has a different SHA-512 each time (031ad184…, c3713849…, 5addec12…). The files are the same size and differ only in the modification date (PDF info and XMP) and the document ID: 13 bytes between v1 and v2, 17 between v2 and v3. The French master shows the same in v3 (16 bytes). The DOL metadata extract differs between versions only in its extraction time (extracted_utc). The no-change test therefore works only if nothing is regenerated in a run without changes. Whether that holds, in particular whether the DOL metadata extract is taken afresh in every run, is not shown by the package and should be confirmed with the developer.</t>
        </is>
      </c>
      <c r="F3" s="25" t="inlineStr">
        <is>
          <t>Decide whether anything has changed by looking at what comes from DOL before anything is built: the source files and published PDFs, by path and checksum, as PoC 1 already does (§4.3), and the DOL metadata by its content, not its extraction time. Keep the final comparison before storing as a safety check.</t>
        </is>
      </c>
      <c r="G3" s="25" t="inlineStr">
        <is>
          <t>F062</t>
        </is>
      </c>
      <c r="H3" s="25" t="inlineStr">
        <is>
          <t>Open</t>
        </is>
      </c>
    </row>
    <row r="4" ht="66" customHeight="1" s="17">
      <c r="A4" s="27" t="inlineStr">
        <is>
          <t>W03</t>
        </is>
      </c>
      <c r="B4" s="25" t="inlineStr">
        <is>
          <t>PREMIS is projected from run evidence</t>
        </is>
      </c>
      <c r="C4" s="25" t="inlineStr">
        <is>
          <t>In each run, the pipeline (PoC 6) writes a new PREMIS file from scratch, built from the records that run kept of its files and events (§4.10). Separately, §4.4 deletes those records whenever a source changes, so the records of earlier runs are no longer there to draw on.</t>
        </is>
      </c>
      <c r="D4" s="25" t="inlineStr">
        <is>
          <t>PREMIS is a running record of the object's whole history. Each new version takes the PREMIS file of the version before and adds its own entries; nothing already recorded is removed or rewritten (DPM2–DPM4, DPM117).</t>
        </is>
      </c>
      <c r="E4" s="25" t="inlineStr">
        <is>
          <t>Each version's PREMIS file describes only its own run. None of v1's 6 events appears in v2, and none of v2's 11 appears in v3: every event carries a new identifier and describes the latest run. Because files are identified by their path, the Spanish master keeps the same identifier in all three versions, but each time it describes the latest copy only (SHA-512 031ad184… in v1, c3713849… in v2, 5addec12… in v3); the earlier copies, still held in the repository, are no longer described. Someone reading the latest PREMIS file would not learn when or how the Spanish master was first made, or that two earlier copies exist. That history survives only in the PREMIS files of the earlier versions.</t>
        </is>
      </c>
      <c r="F4" s="25" t="inlineStr">
        <is>
          <t>PoC 6 opens the PREMIS file of the latest stored version and adds the new version's entries to it. The records of earlier runs are then no longer needed.</t>
        </is>
      </c>
      <c r="G4" s="25" t="inlineStr">
        <is>
          <t>F060, F061</t>
        </is>
      </c>
      <c r="H4" s="25" t="inlineStr">
        <is>
          <t>Open</t>
        </is>
      </c>
    </row>
    <row r="5" ht="81" customHeight="1" s="17">
      <c r="A5" s="27" t="inlineStr">
        <is>
          <t>W04</t>
        </is>
      </c>
      <c r="B5" s="25" t="inlineStr">
        <is>
          <t>Version storage: self-contained or forward-delta</t>
        </is>
      </c>
      <c r="C5" s="25" t="inlineStr">
        <is>
          <t>Every new version is stored as a complete, self-contained copy: its folder holds every file of the document, including those that have not changed since the version before (§5.1, §5.2, §10, §13). A version folder missing an unchanged file is described as a defect.</t>
        </is>
      </c>
      <c r="D5" s="25" t="inlineStr">
        <is>
          <t>Each version's folder holds only the files that are new in that version. An unchanged file is stored once, in the version that first added it, and later versions point to it through the OCFL inventory; nothing is stored twice ("forward-delta"; The OCFL inventory; Example 2).</t>
        </is>
      </c>
      <c r="E5" s="25" t="inlineStr">
        <is>
          <t>Half-way to what is proposed. The storage itself works as proposed: each file is stored once, and a file unchanged since an earlier version is not stored again but points back to the earlier copy. Across the three versions there are 45 files (10 in v1, 15 in v2, 20 in v3), of which 42 are stored: the Spanish DOCX is stored only in v1, and the French DOCX only in v2. But only the DOCX files benefit. Because every run rebuilds the masters and reports (W01), they come out with new bytes even when their source is unchanged, and are stored again: the Spanish master three times, the French master twice.</t>
        </is>
      </c>
      <c r="F5" s="25" t="inlineStr">
        <is>
          <t>Confirm "store each file once" as the rule: this is how OCFL is designed to work, and it avoids keeping duplicate copies. Update §5.1, §5.2, §10 and §13 of Workflow Documentation v2.5 to match.</t>
        </is>
      </c>
      <c r="G5" s="25" t="inlineStr">
        <is>
          <t>—</t>
        </is>
      </c>
      <c r="H5" s="25" t="inlineStr">
        <is>
          <t>Open</t>
        </is>
      </c>
    </row>
    <row r="6" ht="66" customHeight="1" s="17">
      <c r="A6" s="27" t="inlineStr">
        <is>
          <t>W05</t>
        </is>
      </c>
      <c r="B6" s="25" t="inlineStr">
        <is>
          <t>DROID runs before conversion; masters never identified</t>
        </is>
      </c>
      <c r="C6" s="25" t="inlineStr">
        <is>
          <t>DROID, the format identification tool, examines the source files and the published PDFs only. The masters are deliberately left out, because DROID runs before conversion, when the masters do not yet exist (§4.6).</t>
        </is>
      </c>
      <c r="D6" s="25" t="inlineStr">
        <is>
          <t>Every file held has its format identified and recorded, the masters included (as PDF/A-2b, fmt/477). The published PDF a master is made from is identified in the same run: it is not held, but PREMIS describes it as the master's source, and every file PREMIS describes must have a format (DPM40, DPM49, DPM109).</t>
        </is>
      </c>
      <c r="E6" s="25" t="inlineStr">
        <is>
          <t>The package follows Workflow Documentation v2.5. The DROID report lists the Spanish DOCX (fmt/412) and the published PDF (fmt/276), but not the master. As a result, PREMIS records the master's format only as "application/pdf": it does not say that the master is PDF/A, or which level, although being PDF/A-2b is the whole point of the master. The PREMIS record is also inconsistent: the identification is dated 13:10:38, nine seconds before the master was made (13:10:47), yet it claims to have identified the master.</t>
        </is>
      </c>
      <c r="F6" s="25" t="inlineStr">
        <is>
          <t>Run DROID after conversion, over the files new in the version, masters included, and over the published PDFs of the new masters. The published PDF is not part of the package, but PREMIS describes it as the master's source and needs its format. This can be a second run after conversion, or the existing run moved to after conversion.</t>
        </is>
      </c>
      <c r="G6" s="25" t="inlineStr">
        <is>
          <t>F016, F047, F066</t>
        </is>
      </c>
      <c r="H6" s="25" t="inlineStr">
        <is>
          <t>Open</t>
        </is>
      </c>
    </row>
    <row r="7" ht="66" customHeight="1" s="17">
      <c r="A7" s="27" t="inlineStr">
        <is>
          <t>W06</t>
        </is>
      </c>
      <c r="B7" s="25" t="inlineStr">
        <is>
          <t>bag-info.txt identifiers and BagIt version</t>
        </is>
      </c>
      <c r="C7" s="25" t="inlineStr">
        <is>
          <t>Each transfer package (a BagIt "bag") carries a label file, bag-info.txt, identifying it (§4.11). There, the External-Identifier is the JOB_ID and the Internal-Sender-Identifier the pipeline's internal folder UUID. The bag follows BagIt 0.97.</t>
        </is>
      </c>
      <c r="D7" s="25" t="inlineStr">
        <is>
          <t>The label file says unambiguously what the bag is and what it belongs to, and the ingest side checks it before storing anything, holding the bag if any value disagrees (DPM2, DPM3, Example 1). External-Identifier: the UUID of this transfer (the SIP), so that each bag is identified uniquely. Internal-Sender-Identifier: the JOB_ID, the document in ODRNS's own terms. DPR-Object-UUID: the UUID of the object in the repository. DPR-Predecessor-OCFL-Version: the repository version the bag was built on (none for a new document); ingest stores the bag only if that is still the latest version, so that two bags cannot overwrite each other's work. The BagIt version is not at issue: our bags (SHA-512, canonical file names, no fetch.txt) are the same under 0.97 and 1.0 except for the version line.</t>
        </is>
      </c>
      <c r="E7" s="25" t="inlineStr">
        <is>
          <t>Cannot be checked. Once a bag has been stored in the repository, its own files (bag-info.txt and the bag manifests) are not kept (Workflow Documentation v2.5, §4.13), so the package does not show what was written.</t>
        </is>
      </c>
      <c r="F7" s="25" t="inlineStr">
        <is>
          <t>Sent to the developer on 2026-10-12: the nine bag-info.txt fields of the profile (Source-Organization; External-Identifier = SIP UUID; Internal-Sender-Identifier = JOB_ID; External-Description; Bag-Group-Identifier = batch UUID; Bagging-Date; Payload-Oxum; DPR-Object-UUID; DPR-Predecessor-OCFL-Version), and four checks at ingest before anything is stored: the bag verifies against its manifest; DPR-Predecessor-OCFL-Version still matches the object's latest version (or is none and the object does not yet exist); External-Identifier matches the SIP UUID in METS and PREMIS; Internal-Sender-Identifier and DPR-Object-UUID match the JOB_ID and object UUID in PREMIS. Still to tell the developer: a bag that fails any check is held, and nothing is stored. BagIt 0.97 or 1.0 are both accepted. To check the result, a bag needs to be kept from a test run before it is stored. Profile v0.5: Normative basis [BAGIT] to read "BagIt, RFC 8493 (V1.0) or the 0.97 draft; the SHA-512 manifest verified at ingest (DPM112)".</t>
        </is>
      </c>
      <c r="G7" s="25" t="inlineStr">
        <is>
          <t>F060</t>
        </is>
      </c>
      <c r="H7" s="25" t="inlineStr">
        <is>
          <t>In progress</t>
        </is>
      </c>
    </row>
    <row r="8" ht="66" customHeight="1" s="17">
      <c r="A8" s="27" t="inlineStr">
        <is>
          <t>W07</t>
        </is>
      </c>
      <c r="B8" s="25" t="inlineStr">
        <is>
          <t>Package layout and file names</t>
        </is>
      </c>
      <c r="C8" s="25" t="inlineStr">
        <is>
          <t>All metadata files go in one metadata/ folder: &lt;JOB_ID&gt;_dome.xml, &lt;JOB_ID&gt;_premis.xml and &lt;JOB_ID&gt;_mets.xml (§4.10). Held files are renamed from the JOB_ID, the language and the file's DOL path flattened into the name (§4.2).</t>
        </is>
      </c>
      <c r="D8" s="25" t="inlineStr">
        <is>
          <t>Each kind of metadata has its own place: the descriptive record (DOME) in metadata/descriptive/, PREMIS in metadata/preservation/, and the METS file, which describes the package as a whole, at the top of the package. Every held file has a short, regular canonical name built from the JOB_ID and, for a single-language file, the language, such as 2026_011922_es.docx; nothing from the DOL path enters the name (Placement and file model, Canonical names; DPM105). The original DOL file name is not lost: it is recorded in PREMIS (DPM63).</t>
        </is>
      </c>
      <c r="E8" s="25" t="inlineStr">
        <is>
          <t>The package follows Workflow Documentation v2.5. All three metadata files sit together in metadata/, and the held files carry the flattened DOL path in their names, for example 2026_011922_es_G_SPS_NCHL890A1.docx (from V:\G\SPS\NCHL890A1.docx); under the profile this would be 2026_011922_es.docx. The DOL path in the name repeats information that belongs in PREMIS, and it depends on DOL's drive mappings and folder structure, which mean nothing outside DOL.</t>
        </is>
      </c>
      <c r="F8" s="25" t="inlineStr">
        <is>
          <t>Adopt the profile's layout and canonical names (Placement and file model, Canonical names), and keep the DOL file name in PREMIS (originalName, DPM63).</t>
        </is>
      </c>
      <c r="G8" s="25" t="inlineStr">
        <is>
          <t>F024, F025</t>
        </is>
      </c>
      <c r="H8" s="25" t="inlineStr">
        <is>
          <t>Open</t>
        </is>
      </c>
    </row>
    <row r="9" ht="66" customHeight="1" s="17">
      <c r="A9" s="27" t="inlineStr">
        <is>
          <t>W08</t>
        </is>
      </c>
      <c r="B9" s="25" t="inlineStr">
        <is>
          <t>DOME carries the file list</t>
        </is>
      </c>
      <c r="C9" s="25" t="inlineStr">
        <is>
          <t>When the pipeline (PoC 6) creates the descriptive record (DOME), it adds the paths of the preserved files to it (§4.10).</t>
        </is>
      </c>
      <c r="D9" s="25" t="inlineStr">
        <is>
          <t>What DOME contains is outside the profile's scope (Purpose and scope), but every DOME record written after v1 must be recorded in PREMIS as a revision (DPM110). Listing the files of the package is METS's job.</t>
        </is>
      </c>
      <c r="E9" s="25" t="inlineStr">
        <is>
          <t>The DOME record holds the DOL catalogue record, as extracted from DOL (dome_sql_extraction.json), and a list of files that the pipeline adds and that is neither in the extract nor defined in the DOME schema v0.3: an entry per language and representation, pairing the file's location in DOL (e.g. V:\G\SPS\NCHL890A1.docx for the Spanish DOCX) with its location in the package. Because of this list, every new language rewrites the record (2,188 bytes in v1, 2,730 in v2, 3,272 in v3), although the DOL description has not changed. The entries for the masters pair the DOL location of the published PDF (e.g. S:\G\SPS\NCHL890A1.pdf) with the package location of the master, as if the two were the same file; the master is a new file made from the published PDF, and the published PDF is not held. No revision is recorded in PREMIS for any of the rewrites.</t>
        </is>
      </c>
      <c r="F9" s="25" t="inlineStr">
        <is>
          <t>Leave the file list to METS (DOL→DOME crosswalk; METS profile), so that DOME changes only when the DOL description changes, each change recorded by a revision event in PREMIS (DPM110). If the list stays, each rewrite needs DPM110, and the master entries must not carry the published PDF's DOL location.</t>
        </is>
      </c>
      <c r="G9" s="25" t="inlineStr">
        <is>
          <t>F067</t>
        </is>
      </c>
      <c r="H9" s="25" t="inlineStr">
        <is>
          <t>Open</t>
        </is>
      </c>
    </row>
    <row r="10" ht="66" customHeight="1" s="17">
      <c r="A10" s="27" t="inlineStr">
        <is>
          <t>W09</t>
        </is>
      </c>
      <c r="B10" s="25" t="inlineStr">
        <is>
          <t>dome_sql_extraction.json not in the design</t>
        </is>
      </c>
      <c r="C10" s="25" t="inlineStr">
        <is>
          <t>PoC 6 queries DOL (DOL2DB) for the document's catalogue data (§4.10); the extract itself is not among the outputs §4.10 lists.</t>
        </is>
      </c>
      <c r="D10" s="25" t="inlineStr">
        <is>
          <t>Not settled: which per-package processing records are kept is an open item (Open items, Per-package processing records).</t>
        </is>
      </c>
      <c r="E10" s="25" t="inlineStr">
        <is>
          <t>Every version holds a copy of the DOL extract, documentation/2026_011922_dome_sql_extraction.json: the DMS job number (11922.26), the time of extraction and the catalogue data from which the DOME record is built. The three copies are identical except for the time of extraction (extracted_utc: 13:10:52 in v1, 13:12:26 in v2, 13:13:59 in v3). The repository therefore holds three copies of the same data, each a new file that PREMIS must describe.</t>
        </is>
      </c>
      <c r="F10" s="25" t="inlineStr">
        <is>
          <t>In Workflow Documentation v2.5, §4.10, name the extract as one of the outputs: the DOL data kept for the object, from which the DOME record is built. Write a new extract, and with it a new DOME record, only when the DOL data has changed (W02), compared on content rather than extraction time; each new DOME record is recorded in PREMIS as a revision (DPM110). The PREMIS profile then settles its open item Per-package processing records: the extract is kept and described.</t>
        </is>
      </c>
      <c r="G10" s="25" t="inlineStr">
        <is>
          <t>F026, F062</t>
        </is>
      </c>
      <c r="H10" s="25" t="inlineStr">
        <is>
          <t>Open</t>
        </is>
      </c>
    </row>
    <row r="11" ht="96" customHeight="1" s="17">
      <c r="A11" s="27" t="inlineStr">
        <is>
          <t>W10</t>
        </is>
      </c>
      <c r="B11" s="25" t="inlineStr">
        <is>
          <t>Selection basis not recorded</t>
        </is>
      </c>
      <c r="C11" s="25" t="inlineStr">
        <is>
          <t>For each document the pipeline keeps the last action DOL recorded on it (LastDmsAction, e.g. InitialPublication, RepublishedModified, MetadataUpdate, Derestriction), for monitoring, routing and analysing versions (§4.2, §13), but writes no reason for a new version into the package. PoC 0 selects the catalogue entries created that day whose restriction type is 44 (derestricted) or 91 (unrestricted).</t>
        </is>
      </c>
      <c r="D11" s="25" t="inlineStr">
        <is>
          <t>Every version records why it was created, its selection basis: a new document, a new language, a re-issue, a metadata change, a derestriction… (vocODRNSSelectionBasis). It is written twice: in PREMIS, on the SIP creation event (DPM111), and at the start of the version's commit message in the OCFL inventory (DPM14); before storing, ingest checks that the two agree.</t>
        </is>
      </c>
      <c r="E11" s="25" t="inlineStr">
        <is>
          <t>The package does not record why any of its versions was created. The commit messages are free text: "Initial preservation ingest from verified BagIt SIP" for v1, and the identical "Preservation update from verified BagIt SIP" for v2 and v3. PREMIS has no SIP creation event in any version. The reason can only be inferred from the files each version adds: v1 a new document (Spanish), v2 and v3 a new language (French, then English).</t>
        </is>
      </c>
      <c r="F11" s="25" t="inlineStr">
        <is>
          <t>Work out the reason for each version from DOL's last action on the catalogue entry (LastDmsAction) and what PoC 1 finds when it compares the files and data from DOL with what the repository already holds:
• InitialPublication, JOB_ID not yet in the repository → new_document (v1)
• InitialPublication, JOB_ID exists, a language not yet held → language_added
• RepublishedModified, a held language whose source file changed → modified_files
• MetadataUpdate, files unchanged, DOL data changed → metadata_change
• Derestriction, restriction type now 44 → derestriction
• any action, nothing changed → no version (run report only)
• any other combination → held for review
Write the result in PREMIS, on SIP creation (DPM111), and at the start of the commit message in the OCFL inventory (DPM14). Example, v2 of 2026_011922: DOL publishes the French version of G/SPS/N/CHL/890/Add.1; PoC 1 finds the object already in the repository (latest version v1), the Spanish files unchanged and French new. The selection basis is language_added, written as selection_basis: language_added; languages: es, fr on SIP creation, and as the v2 message "language_added — French added (fr)". To confirm with DOL: which action values exist, and whether a further language is recorded as InitialPublication.</t>
        </is>
      </c>
      <c r="G11" s="25" t="inlineStr">
        <is>
          <t>F049</t>
        </is>
      </c>
      <c r="H11" s="25" t="inlineStr">
        <is>
          <t>Open</t>
        </is>
      </c>
    </row>
    <row r="12" ht="66" customHeight="1" s="17">
      <c r="A12" s="27" t="inlineStr">
        <is>
          <t>W11</t>
        </is>
      </c>
      <c r="B12" s="25" t="inlineStr">
        <is>
          <t>Restricted documents never selected</t>
        </is>
      </c>
      <c r="C12" s="25" t="inlineStr">
        <is>
          <t>Only documents whose restriction type is 44 (derestricted) or 91 (unrestricted) are selected (§4.2); restricted documents never enter the pipeline.</t>
        </is>
      </c>
      <c r="D12" s="25" t="inlineStr">
        <is>
          <t>A document's restriction status is recorded in its DOME record (accessRights, derestrictionDate), not in PREMIS; whether PREMIS should also carry a rights statement is an open item (DPM115, not used until then). The profile has a derestriction selection basis, but only for v2 and later (Modification by version type): it assumes a restricted document is already held and becomes public later, the new version writing a new DOME record only.</t>
        </is>
      </c>
      <c r="E12" s="25" t="inlineStr">
        <is>
          <t>The document is public from the start: the DOL extract gives restriction type "U" and access type "Public". The DOME record carries these under the DOL field names accessType and restrictionType, not in DOME's accessRights, as the DOME schema v0.3 provides (W16). The DOL extract writes the restriction type as a letter ("U"), while §4.2 selects on numbers (44, 91): which DOL field the selection uses is to be checked. The package says nothing about how restricted documents are treated.</t>
        </is>
      </c>
      <c r="F12" s="25" t="inlineStr">
        <is>
          <t>Confirm that restricted documents are out of scope until derestricted. A derestricted document then enters the repository for the first time when it becomes public: its first version is v1, and the profile's derestriction basis (v2+) would never occur. Decide whether such a v1 is new_document, with the derestriction recorded in DOME, or whether derestriction also applies to v1. Write the restriction status in DOME accessRights; the value mapping from DOL's access and restriction types is part of the DOME review.</t>
        </is>
      </c>
      <c r="G12" s="25" t="inlineStr">
        <is>
          <t>—</t>
        </is>
      </c>
      <c r="H12" s="25" t="inlineStr">
        <is>
          <t>Open</t>
        </is>
      </c>
    </row>
    <row r="13" ht="66" customHeight="1" s="17">
      <c r="A13" s="27" t="inlineStr">
        <is>
          <t>W12</t>
        </is>
      </c>
      <c r="B13" s="25" t="inlineStr">
        <is>
          <t>Agent registry named, not specified</t>
        </is>
      </c>
      <c r="C13" s="25" t="inlineStr">
        <is>
          <t>The pipeline has an agent registry of the people, software and services involved: the event log records what happened, the registry who or what did it (§7). Its form, location and contents are not described.</t>
        </is>
      </c>
      <c r="D13" s="25" t="inlineStr">
        <is>
          <t>Every agent is registered once, with a UUID, name, type, version and note, and for a person the e-mail address used in the OCFL commit record (DPM14, DPM78–DPM85). Each software version is a separate agent, so that the record shows exactly which version of a tool acted. PREMIS copies each agent from the registry and never mints agent identifiers.</t>
        </is>
      </c>
      <c r="E13" s="25" t="inlineStr">
        <is>
          <t>PREMIS describes five software agents, identified only by name (local): Aspose.PDF for .NET, DROID, Python DPR PoC1, Python DPR PoC4 and veraPDF. None has a UUID or a version, so it cannot be told which version of DROID or veraPDF was used. The pipeline's other stages do not appear. No person is described, although the OCFL inventory names Eric Gao as the committer of all three versions, without an e-mail address. The conversion engine is named Aspose.PDF for .NET, while the profile has Aspose.PDF for C++ (DPM106).</t>
        </is>
      </c>
      <c r="F13" s="25" t="inlineStr">
        <is>
          <t>The agent registry exists; its final version and location are awaited (profile placeholders [AGENT-REGISTRY-FILE], [AGENT-REGISTRY-LOCATION]). Once final, take every agent from it: PREMIS identifies agents by their registry UUID, with name, type, version and note as registered, and the OCFL commit record takes the operator's name and e-mail address from it. Register what is missing: the operator, with an e-mail address, every stage script, and each tool version (DROID with its signature file, veraPDF, the conversion engine) as its own agent. Confirm the conversion engine (.NET or C++) and correct the registry, the profile or the pipeline.</t>
        </is>
      </c>
      <c r="G13" s="25" t="inlineStr">
        <is>
          <t>F051, F052, F053</t>
        </is>
      </c>
      <c r="H13" s="25" t="inlineStr">
        <is>
          <t>Open</t>
        </is>
      </c>
    </row>
    <row r="14" ht="51" customHeight="1" s="17">
      <c r="A14" s="27" t="inlineStr">
        <is>
          <t>W13</t>
        </is>
      </c>
      <c r="B14" s="25" t="inlineStr">
        <is>
          <t>Two workflow documents</t>
        </is>
      </c>
      <c r="C14" s="25" t="inlineStr">
        <is>
          <t>The developer's document. It describes the pipeline as built.</t>
        </is>
      </c>
      <c r="D14" s="25" t="inlineStr">
        <is>
          <t>The profile cites Workflow Documentation v2.5 as its workflow reference ([DPR-WORKFLOW]; Normative basis, References). Consequential changes lists what v2.5 has to change to match the profile.</t>
        </is>
      </c>
      <c r="E14" s="25" t="inlineStr">
        <is>
          <t>The package behaves as Workflow Documentation v2.5 describes: for example, DROID runs before conversion (W05), and each version's PREMIS is generated from that run's records (W03).</t>
        </is>
      </c>
      <c r="F14" s="25" t="inlineStr">
        <is>
          <t>A complete description of the workflow is needed. Decided on 2026-10-12: Workflow Documentation v2.5 is the current reference. Given the issues found in this review, a revised and more complete version is expected. It should take on the decisions in W01–W17 and the profile's Consequential changes, and resolve its own contradictions (§4.4 vs §5.1; §5.1, §5.2, §10, §13 on storage). The profile will then cite the revised version as [DPR-WORKFLOW]. The earlier dol_dpr_workflow.qmd v0.1 (2026-07-13) is superseded (profile, Earlier work).</t>
        </is>
      </c>
      <c r="G14" s="25" t="inlineStr">
        <is>
          <t>—</t>
        </is>
      </c>
      <c r="H14" s="25" t="inlineStr">
        <is>
          <t>In progress</t>
        </is>
      </c>
    </row>
    <row r="15" ht="81" customHeight="1" s="17">
      <c r="A15" s="27" t="inlineStr">
        <is>
          <t>W14</t>
        </is>
      </c>
      <c r="B15" s="25" t="inlineStr">
        <is>
          <t>DROID report: one path or one per version</t>
        </is>
      </c>
      <c r="C15" s="25" t="inlineStr">
        <is>
          <t>The DROID report (CSV) is kept as the evidence of format identification (§4.6). The package holds it as documentation/{JOB_ID}_droid_export.csv, under the same name in every version.</t>
        </is>
      </c>
      <c r="D15" s="25" t="inlineStr">
        <is>
          <t>The report's name is an open item (Open items, DROID report): {JOB_ID}_ff_droid.csv or {JOB_ID}_droid_export.csv. The profile proposes a name with the version number, {JOB_ID}_ff_droid_v{N}.csv, so that each version's report is a file of its own and does not replace the earlier one.</t>
        </is>
      </c>
      <c r="E15" s="25" t="inlineStr">
        <is>
          <t>Each version writes a new report under the same name, documentation/2026_011922_droid_export.csv, replacing the previous one in the current state of the object (SHA-512 da9cd965… in v1, a777a726… in v2, f3167f04… in v3). The earlier reports are still stored in their versions, but the latest state shows only the last one. Under one name, every earlier report has to stay described in PREMIS as a replaced (superseded) file.</t>
        </is>
      </c>
      <c r="F15" s="25" t="inlineStr">
        <is>
          <t>Confirm the report's name, and whether it carries the version number. With the version number, each version simply adds its own report (6 files added in v2 and in v3, Versions tab) and only PREMIS, METS and DOME change at an existing path (3). Without it, every version replaces the report, and the profile's Superseded files rule applies to it each time. If the versioned name is chosen, the profile's Canonical names table changes with it.</t>
        </is>
      </c>
      <c r="G15" s="25" t="inlineStr">
        <is>
          <t>F066</t>
        </is>
      </c>
      <c r="H15" s="25" t="inlineStr">
        <is>
          <t>Open</t>
        </is>
      </c>
    </row>
    <row r="16" ht="111" customHeight="1" s="17">
      <c r="A16" s="27" t="inlineStr">
        <is>
          <t>W15</t>
        </is>
      </c>
      <c r="B16" s="25" t="inlineStr">
        <is>
          <t>UUID registry not in the design</t>
        </is>
      </c>
      <c r="C16" s="25" t="inlineStr">
        <is>
          <t>No registry of UUIDs is described. PoC 1 keeps a lasting folder UUID in its processing record (§4.3); file identifiers are assigned at PoC 1 and PoC 3, and PoC 6 generates the event UUIDs.</t>
        </is>
      </c>
      <c r="D16" s="25" t="inlineStr">
        <is>
          <t>Every UUID is a version 4 UUID (random), given once and never reused (DPM8). One registry lists every UUID ever given in the repository; entries are only ever added (DPM9). It is a CSV file or an SQL Server table (Open items, UUID registry). Every new UUID is checked against it and entered before it is used; if a UUID is already there, the item is stopped for review, never resolved by generating another. Columns: uuid, entity_type, job_id, symbol, description, minted_at, minted_by (The UUID registry).</t>
        </is>
      </c>
      <c r="E16" s="25" t="inlineStr">
        <is>
          <t>All event UUIDs are version 5 UUIDs (6 in v1, 11 in v2, 16 in v3; e.g. 4c95ff44-8008-57e7-…): derived from a name, not random, so the same input produces the same UUID again. If a run is repeated, or two events are described the same way, they get the same identifier, and only a registry check would catch it. Files have no UUID at all and are identified by their path (W03).</t>
        </is>
      </c>
      <c r="F16" s="25" t="inlineStr">
        <is>
          <t>Generate every UUID as a version 4 UUID (random; in Python uuid.uuid4()), never version 5 (name-based, uuid.uuid5()). Add the UUID registry to the design: decide its form (CSV or SQL Server table) and location, and add the mint, check, enter step at every point that creates a UUID: PoC 1 (object and files), PoC 3 (masters), PoC 6 (events), and the batch and SIP.</t>
        </is>
      </c>
      <c r="G16" s="25" t="inlineStr">
        <is>
          <t>F029, F064</t>
        </is>
      </c>
      <c r="H16" s="25" t="inlineStr">
        <is>
          <t>Open</t>
        </is>
      </c>
    </row>
    <row r="17" ht="111" customHeight="1" s="17">
      <c r="A17" s="27" t="inlineStr">
        <is>
          <t>W16</t>
        </is>
      </c>
      <c r="B17" s="25" t="inlineStr">
        <is>
          <t>DOME record does not follow the DOME schema v0.3</t>
        </is>
      </c>
      <c r="C17" s="25" t="inlineStr">
        <is>
          <t>PoC 6 creates the DOME record from the DOL metadata (§4.10). The schema it follows is not specified.</t>
        </is>
      </c>
      <c r="D17" s="25" t="inlineStr">
        <is>
          <t>What DOME contains is outside the profile's scope (Purpose and scope); the profile relies on the DOL→DOME crosswalk and the DOME schema for it.</t>
        </is>
      </c>
      <c r="E17" s="25" t="inlineStr">
        <is>
          <t>The record names its own schema (dol-metadata-v-03-poc.xsd, not in the package) and fails validation against DOME v0.3 (dol-metadata-v-03.xsd). Most of its elements carry the DOL field names rather than the DOME terms (symbol for documentSymbol, titleE/F/S for title with xml:lang, bodyIssuing for bodiesIssuing, memberConcerned for countryTerritoryConcerned), in a different order. The original language is given as the DOL code (S), not ISO 639-1 (es). The record-level elements (mdSourceSystem, mdDateCreated, mdDateModified) are missing. Only 9 of its element names exist in DOME.</t>
        </is>
      </c>
      <c r="F17" s="25" t="inlineStr">
        <is>
          <t>Ask the developer for dol-metadata-v-03-poc.xsd and the reason for departing from v0.3. Complete the DOL→DOME crosswalk: several DOL fields have no mapping in the DOME specification (restrictionType, documentTypeSource, titleE/F/S, memberConcerned, documentTypeStatus, documentTypeVersion). Then write the record to DOME v0.3 and validate it before bagging. The DOME namespace is still to be fixed in the DOME schema. Note: the DOME schema (v0.3) and its specification (v0.1) need to be reviewed and refined, and the DOL→DOME crosswalk (DOL_DOME_crosswalk.xlsx, never reviewed) needs a correct mapping of each DOME element to the DOL database fields.</t>
        </is>
      </c>
      <c r="G17" s="25" t="inlineStr">
        <is>
          <t>—</t>
        </is>
      </c>
      <c r="H17" s="25" t="inlineStr">
        <is>
          <t>Open</t>
        </is>
      </c>
    </row>
    <row r="18" ht="111" customHeight="1" s="17">
      <c r="A18" s="27" t="inlineStr">
        <is>
          <t>W17</t>
        </is>
      </c>
      <c r="B18" s="25" t="inlineStr">
        <is>
          <t>METS version</t>
        </is>
      </c>
      <c r="C18" s="25" t="inlineStr">
        <is>
          <t>The METS version is not stated.</t>
        </is>
      </c>
      <c r="D18" s="25" t="inlineStr">
        <is>
          <t>METS schema 1.12.1 (Normative basis, [METS]). The root METS references the PREMIS file in amdSec/digiprovMD/mdRef with xlink:href (Placement and file model); the DOME record is referenced in dmdSec/mdRef. Further structure is set by the METS profile, still to be written.</t>
        </is>
      </c>
      <c r="E18" s="25" t="inlineStr">
        <is>
          <t>The METS file is written to METS 2 (namespace http://www.loc.gov/METS/v2; structSec, LOCREF). It has no metadata section: the DOME record and PREMIS are listed among the 19 files like any other, and the structure map is a single flat division with 19 file pointers, with no divisions for the two representations and no link from the description to the document.</t>
        </is>
      </c>
      <c r="F18" s="25" t="inlineStr">
        <is>
          <t>Write METS 1.12.1, as the PREMIS profile cites and as the METS profile will set out: DOME referenced in dmdSec, PREMIS in amdSec/digiprovMD, and a structure map with the document and its two representations.</t>
        </is>
      </c>
      <c r="G18" s="25" t="inlineStr">
        <is>
          <t>—</t>
        </is>
      </c>
      <c r="H18" s="25"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4" customWidth="1" style="17" min="1" max="1"/>
    <col width="48" customWidth="1" style="17" min="2" max="2"/>
    <col width="110" customWidth="1" style="17" min="3" max="3"/>
    <col width="75" customWidth="1" style="17" min="4" max="4"/>
  </cols>
  <sheetData>
    <row r="1">
      <c r="A1" s="32" t="inlineStr">
        <is>
          <t>Finding</t>
        </is>
      </c>
      <c r="B1" s="32" t="inlineStr">
        <is>
          <t>Implementation status</t>
        </is>
      </c>
      <c r="C1" s="32" t="inlineStr">
        <is>
          <t>Response</t>
        </is>
      </c>
      <c r="D1" s="32" t="inlineStr">
        <is>
          <t>Evidence / scope</t>
        </is>
      </c>
    </row>
    <row r="2">
      <c r="A2" s="33" t="inlineStr">
        <is>
          <t>F001</t>
        </is>
      </c>
      <c r="B2" s="33" t="inlineStr">
        <is>
          <t>Implemented in draft profile; re-review required</t>
        </is>
      </c>
      <c r="C2" s="33" t="inlineStr">
        <is>
          <t>Exact UTF-8 declaration, no BOM, NFC text and LF are written by profile_workflow.serialize.</t>
        </is>
      </c>
      <c r="D2" s="33" t="inlineStr">
        <is>
          <t>profile_workflow.py; tests/test_team_profile.py; TEAM_REVIEW_IMPLEMENTATION.md</t>
        </is>
      </c>
    </row>
    <row r="3">
      <c r="A3" s="33" t="inlineStr">
        <is>
          <t>F002</t>
        </is>
      </c>
      <c r="B3" s="33" t="inlineStr">
        <is>
          <t>Implemented in draft profile; re-review required</t>
        </is>
      </c>
      <c r="C3" s="33" t="inlineStr">
        <is>
          <t>Default PREMIS 3 namespace and unprefixed xsi:type values; official XSD validation.</t>
        </is>
      </c>
      <c r="D3" s="33" t="inlineStr">
        <is>
          <t>profile_workflow.py; tests/test_team_profile.py; TEAM_REVIEW_IMPLEMENTATION.md</t>
        </is>
      </c>
    </row>
    <row r="4">
      <c r="A4" s="33" t="inlineStr">
        <is>
          <t>F003</t>
        </is>
      </c>
      <c r="B4" s="33" t="inlineStr">
        <is>
          <t>Implemented in draft profile; re-review required</t>
        </is>
      </c>
      <c r="C4" s="33" t="inlineStr">
        <is>
          <t>Package-local schemas/premis.xsd and relative schemaLocation; schema SHA-512 pins checked at ingest.</t>
        </is>
      </c>
      <c r="D4" s="33" t="inlineStr">
        <is>
          <t>profile_workflow.py; tests/test_team_profile.py; TEAM_REVIEW_IMPLEMENTATION.md</t>
        </is>
      </c>
    </row>
    <row r="5">
      <c r="A5" s="33" t="inlineStr">
        <is>
          <t>F004</t>
        </is>
      </c>
      <c r="B5" s="33" t="inlineStr">
        <is>
          <t>Original disposition retained</t>
        </is>
      </c>
      <c r="C5" s="33" t="inlineStr">
        <is>
          <t>Original review closure/profile issue retained; no implementation closure asserted.</t>
        </is>
      </c>
      <c r="D5" s="33" t="inlineStr">
        <is>
          <t>profile_workflow.py; tests/test_team_profile.py; TEAM_REVIEW_IMPLEMENTATION.md</t>
        </is>
      </c>
    </row>
    <row r="6">
      <c r="A6" s="33" t="inlineStr">
        <is>
          <t>F005</t>
        </is>
      </c>
      <c r="B6" s="33" t="inlineStr">
        <is>
          <t>Implemented in draft profile; re-review required</t>
        </is>
      </c>
      <c r="C6" s="33" t="inlineStr">
        <is>
          <t>Controlled-value lookup adds authority/authorityURI/valueURI; local terms use authority=local; identifier types stay plain.</t>
        </is>
      </c>
      <c r="D6" s="33" t="inlineStr">
        <is>
          <t>profile_workflow.py; tests/test_team_profile.py; TEAM_REVIEW_IMPLEMENTATION.md</t>
        </is>
      </c>
    </row>
    <row r="7">
      <c r="A7" s="33" t="inlineStr">
        <is>
          <t>F006</t>
        </is>
      </c>
      <c r="B7" s="33" t="inlineStr">
        <is>
          <t>Implemented in draft profile; re-review required</t>
        </is>
      </c>
      <c r="C7" s="33" t="inlineStr">
        <is>
          <t>One intellectualEntity retains the existing object UUID and carries UUID then JOB_ID identifiers.</t>
        </is>
      </c>
      <c r="D7" s="33" t="inlineStr">
        <is>
          <t>profile_workflow.py; tests/test_team_profile.py; TEAM_REVIEW_IMPLEMENTATION.md</t>
        </is>
      </c>
    </row>
    <row r="8">
      <c r="A8" s="33" t="inlineStr">
        <is>
          <t>F007</t>
        </is>
      </c>
      <c r="B8" s="33" t="inlineStr">
        <is>
          <t>Implemented in draft profile; re-review required</t>
        </is>
      </c>
      <c r="C8" s="33" t="inlineStr">
        <is>
          <t>IE includes relationships to two stable representation UUIDs.</t>
        </is>
      </c>
      <c r="D8" s="33" t="inlineStr">
        <is>
          <t>profile_workflow.py; tests/test_team_profile.py; TEAM_REVIEW_IMPLEMENTATION.md</t>
        </is>
      </c>
    </row>
    <row r="9">
      <c r="A9" s="33" t="inlineStr">
        <is>
          <t>F008</t>
        </is>
      </c>
      <c r="B9" s="33" t="inlineStr">
        <is>
          <t>Partial / decision or live evidence pending</t>
        </is>
      </c>
      <c r="C9" s="33" t="inlineStr">
        <is>
          <t>Independent registered UUID4s for rep_1 and rep_2. Attachment-only jobs retain an empty rep_1: draft adaptation requiring review.</t>
        </is>
      </c>
      <c r="D9" s="33" t="inlineStr">
        <is>
          <t>profile_workflow.py; tests/test_team_profile.py; TEAM_REVIEW_IMPLEMENTATION.md</t>
        </is>
      </c>
    </row>
    <row r="10">
      <c r="A10" s="33" t="inlineStr">
        <is>
          <t>F009</t>
        </is>
      </c>
      <c r="B10" s="33" t="inlineStr">
        <is>
          <t>Implemented in draft profile; re-review required</t>
        </is>
      </c>
      <c r="C10" s="33" t="inlineStr">
        <is>
          <t>Representation identifiers are UUID then filepath.</t>
        </is>
      </c>
      <c r="D10" s="33" t="inlineStr">
        <is>
          <t>profile_workflow.py; tests/test_team_profile.py; TEAM_REVIEW_IMPLEMENTATION.md</t>
        </is>
      </c>
    </row>
    <row r="11">
      <c r="A11" s="33" t="inlineStr">
        <is>
          <t>F010</t>
        </is>
      </c>
      <c r="B11" s="33" t="inlineStr">
        <is>
          <t>Implemented in draft profile; re-review required</t>
        </is>
      </c>
      <c r="C11" s="33" t="inlineStr">
        <is>
          <t>Bidirectional structural includes/is Included In links; prior includes retained.</t>
        </is>
      </c>
      <c r="D11" s="33" t="inlineStr">
        <is>
          <t>profile_workflow.py; tests/test_team_profile.py; TEAM_REVIEW_IMPLEMENTATION.md</t>
        </is>
      </c>
    </row>
    <row r="12">
      <c r="A12" s="33" t="inlineStr">
        <is>
          <t>F011</t>
        </is>
      </c>
      <c r="B12" s="33" t="inlineStr">
        <is>
          <t>Implemented in draft profile; re-review required</t>
        </is>
      </c>
      <c r="C12" s="33" t="inlineStr">
        <is>
          <t>Existing stage file IDs are reused; new stage UUIDs enter the local registry before return. Evidence/content IDs are registered once.</t>
        </is>
      </c>
      <c r="D12" s="33" t="inlineStr">
        <is>
          <t>profile_workflow.py; tests/test_team_profile.py; TEAM_REVIEW_IMPLEMENTATION.md</t>
        </is>
      </c>
    </row>
    <row r="13">
      <c r="A13" s="33" t="inlineStr">
        <is>
          <t>F012</t>
        </is>
      </c>
      <c r="B13" s="33" t="inlineStr">
        <is>
          <t>Implemented in draft profile; re-review required</t>
        </is>
      </c>
      <c r="C13" s="33" t="inlineStr">
        <is>
          <t>Held files carry UUID then filepath identifiers; local-path removed in profile mode.</t>
        </is>
      </c>
      <c r="D13" s="33" t="inlineStr">
        <is>
          <t>profile_workflow.py; tests/test_team_profile.py; TEAM_REVIEW_IMPLEMENTATION.md</t>
        </is>
      </c>
    </row>
    <row r="14">
      <c r="A14" s="33" t="inlineStr">
        <is>
          <t>F013</t>
        </is>
      </c>
      <c r="B14" s="33" t="inlineStr">
        <is>
          <t>Implemented in draft profile; re-review required</t>
        </is>
      </c>
      <c r="C14" s="33" t="inlineStr">
        <is>
          <t>Published DOL PDFs remain described by UUID/fixity/size/format/originalName without filepath, before derivation links to masters.</t>
        </is>
      </c>
      <c r="D14" s="33" t="inlineStr">
        <is>
          <t>profile_workflow.py; tests/test_team_profile.py; TEAM_REVIEW_IMPLEMENTATION.md</t>
        </is>
      </c>
    </row>
    <row r="15">
      <c r="A15" s="33" t="inlineStr">
        <is>
          <t>F014</t>
        </is>
      </c>
      <c r="B15" s="33" t="inlineStr">
        <is>
          <t>Implemented in draft profile; re-review required</t>
        </is>
      </c>
      <c r="C15" s="33" t="inlineStr">
        <is>
          <t>compositionLevel=0 on every file object.</t>
        </is>
      </c>
      <c r="D15" s="33" t="inlineStr">
        <is>
          <t>profile_workflow.py; tests/test_team_profile.py; TEAM_REVIEW_IMPLEMENTATION.md</t>
        </is>
      </c>
    </row>
    <row r="16">
      <c r="A16" s="33" t="inlineStr">
        <is>
          <t>F015</t>
        </is>
      </c>
      <c r="B16" s="33" t="inlineStr">
        <is>
          <t>Partial / decision or live evidence pending</t>
        </is>
      </c>
      <c r="C16" s="33" t="inlineStr">
        <is>
          <t>Digest originators reference configured software-agent UUIDs. Provisional agent registry supplied; production registry pending.</t>
        </is>
      </c>
      <c r="D16" s="33" t="inlineStr">
        <is>
          <t>profile_workflow.py; tests/test_team_profile.py; TEAM_REVIEW_IMPLEMENTATION.md</t>
        </is>
      </c>
    </row>
    <row r="17">
      <c r="A17" s="33" t="inlineStr">
        <is>
          <t>F016</t>
        </is>
      </c>
      <c r="B17" s="33" t="inlineStr">
        <is>
          <t>Partial / decision or live evidence pending</t>
        </is>
      </c>
      <c r="C17" s="33" t="inlineStr">
        <is>
          <t>Uses DROID identifications, not MIME labels. Optional PoC6 --java/--droid-jar identifies new derived files. Missing PUIDs are explicit draft gaps; strict mode rejects them. DOME has fixed XML format.</t>
        </is>
      </c>
      <c r="D17" s="33" t="inlineStr">
        <is>
          <t>profile_workflow.py; tests/test_team_profile.py; TEAM_REVIEW_IMPLEMENTATION.md</t>
        </is>
      </c>
    </row>
    <row r="18">
      <c r="A18" s="33" t="inlineStr">
        <is>
          <t>F017</t>
        </is>
      </c>
      <c r="B18" s="33" t="inlineStr">
        <is>
          <t>Implemented in draft profile; re-review required</t>
        </is>
      </c>
      <c r="C18" s="33" t="inlineStr">
        <is>
          <t>DROID version/PUID propagated; PRONOM registry role specification has authority attributes.</t>
        </is>
      </c>
      <c r="D18" s="33" t="inlineStr">
        <is>
          <t>profile_workflow.py; tests/test_team_profile.py; TEAM_REVIEW_IMPLEMENTATION.md</t>
        </is>
      </c>
    </row>
    <row r="19">
      <c r="A19" s="33" t="inlineStr">
        <is>
          <t>F018</t>
        </is>
      </c>
      <c r="B19" s="33" t="inlineStr">
        <is>
          <t>Partial / decision or live evidence pending</t>
        </is>
      </c>
      <c r="C19" s="33" t="inlineStr">
        <is>
          <t>Creating application is actual Aspose.PDF for .NET 25.10.0, with per-conversion completion time; omitted on skipped conversion. Profile C++ label needs amendment.</t>
        </is>
      </c>
      <c r="D19" s="33" t="inlineStr">
        <is>
          <t>profile_workflow.py; tests/test_team_profile.py; TEAM_REVIEW_IMPLEMENTATION.md</t>
        </is>
      </c>
    </row>
    <row r="20">
      <c r="A20" s="33" t="inlineStr">
        <is>
          <t>F019</t>
        </is>
      </c>
      <c r="B20" s="33" t="inlineStr">
        <is>
          <t>Implemented in draft profile; re-review required</t>
        </is>
      </c>
      <c r="C20" s="33" t="inlineStr">
        <is>
          <t>originalName is a filename only; published PDFs and renamed held source files only; omitted on masters/reports/DOME.</t>
        </is>
      </c>
      <c r="D20" s="33" t="inlineStr">
        <is>
          <t>profile_workflow.py; tests/test_team_profile.py; TEAM_REVIEW_IMPLEMENTATION.md</t>
        </is>
      </c>
    </row>
    <row r="21">
      <c r="A21" s="33" t="inlineStr">
        <is>
          <t>F020</t>
        </is>
      </c>
      <c r="B21" s="33" t="inlineStr">
        <is>
          <t>Implemented in draft profile; re-review required</t>
        </is>
      </c>
      <c r="C21" s="33" t="inlineStr">
        <is>
          <t>Only representation files receive structural membership; evidence and DOME do not.</t>
        </is>
      </c>
      <c r="D21" s="33" t="inlineStr">
        <is>
          <t>profile_workflow.py; tests/test_team_profile.py; TEAM_REVIEW_IMPLEMENTATION.md</t>
        </is>
      </c>
    </row>
    <row r="22">
      <c r="A22" s="33" t="inlineStr">
        <is>
          <t>F021</t>
        </is>
      </c>
      <c r="B22" s="33" t="inlineStr">
        <is>
          <t>Implemented in draft profile; re-review required</t>
        </is>
      </c>
      <c r="C22" s="33" t="inlineStr">
        <is>
          <t>Converted masters link derivation/has Source to source UUID plus normalization event UUID.</t>
        </is>
      </c>
      <c r="D22" s="33" t="inlineStr">
        <is>
          <t>profile_workflow.py; tests/test_team_profile.py; TEAM_REVIEW_IMPLEMENTATION.md</t>
        </is>
      </c>
    </row>
    <row r="23">
      <c r="A23" s="33" t="inlineStr">
        <is>
          <t>F022</t>
        </is>
      </c>
      <c r="B23" s="33" t="inlineStr">
        <is>
          <t>Implemented in draft profile; re-review required</t>
        </is>
      </c>
      <c r="C23" s="33" t="inlineStr">
        <is>
          <t>Validation report dependency links to master and validation event.</t>
        </is>
      </c>
      <c r="D23" s="33" t="inlineStr">
        <is>
          <t>profile_workflow.py; tests/test_team_profile.py; TEAM_REVIEW_IMPLEMENTATION.md</t>
        </is>
      </c>
    </row>
    <row r="24">
      <c r="A24" s="33" t="inlineStr">
        <is>
          <t>F023</t>
        </is>
      </c>
      <c r="B24" s="33" t="inlineStr">
        <is>
          <t>Implemented in draft profile; re-review required</t>
        </is>
      </c>
      <c r="C24" s="33" t="inlineStr">
        <is>
          <t>QA report dependency links to master and fidelity review event.</t>
        </is>
      </c>
      <c r="D24" s="33" t="inlineStr">
        <is>
          <t>profile_workflow.py; tests/test_team_profile.py; TEAM_REVIEW_IMPLEMENTATION.md</t>
        </is>
      </c>
    </row>
    <row r="25">
      <c r="A25" s="33" t="inlineStr">
        <is>
          <t>F024</t>
        </is>
      </c>
      <c r="B25" s="33" t="inlineStr">
        <is>
          <t>Implemented in draft profile; re-review required</t>
        </is>
      </c>
      <c r="C25" s="33" t="inlineStr">
        <is>
          <t>DOME placed at metadata/descriptive/JOB_dome.xml.</t>
        </is>
      </c>
      <c r="D25" s="33" t="inlineStr">
        <is>
          <t>profile_workflow.py; tests/test_team_profile.py; TEAM_REVIEW_IMPLEMENTATION.md</t>
        </is>
      </c>
    </row>
    <row r="26">
      <c r="A26" s="33" t="inlineStr">
        <is>
          <t>F025</t>
        </is>
      </c>
      <c r="B26" s="33" t="inlineStr">
        <is>
          <t>Partial / decision or live evidence pending</t>
        </is>
      </c>
      <c r="C26" s="33" t="inlineStr">
        <is>
          <t>Existing canonical DOL names preserved; unique suffixes support multiple same-language files. Attachment masters use stable source UUID paths. Naming policy extensions need profile review.</t>
        </is>
      </c>
      <c r="D26" s="33" t="inlineStr">
        <is>
          <t>profile_workflow.py; tests/test_team_profile.py; TEAM_REVIEW_IMPLEMENTATION.md</t>
        </is>
      </c>
    </row>
    <row r="27">
      <c r="A27" s="33" t="inlineStr">
        <is>
          <t>F026</t>
        </is>
      </c>
      <c r="B27" s="33" t="inlineStr">
        <is>
          <t>Partial / decision or live evidence pending</t>
        </is>
      </c>
      <c r="C27" s="33" t="inlineStr">
        <is>
          <t>Decision proposed: retain SQL extraction as provenance; describe its bytes in PREMIS. Schema-independent extraction is not regenerated when SQL content is unchanged. Dedicated event outcome link remains a gap.</t>
        </is>
      </c>
      <c r="D27" s="33" t="inlineStr">
        <is>
          <t>profile_workflow.py; tests/test_team_profile.py; TEAM_REVIEW_IMPLEMENTATION.md</t>
        </is>
      </c>
    </row>
    <row r="28">
      <c r="A28" s="33" t="inlineStr">
        <is>
          <t>F027</t>
        </is>
      </c>
      <c r="B28" s="33" t="inlineStr">
        <is>
          <t>Implemented in draft profile; re-review required</t>
        </is>
      </c>
      <c r="C28" s="33" t="inlineStr">
        <is>
          <t>Confirmed actual converter evidence is XML, when Aspose emits it; already-PDF/A skips may produce no conversion log.</t>
        </is>
      </c>
      <c r="D28" s="33" t="inlineStr">
        <is>
          <t>profile_workflow.py; tests/test_team_profile.py; TEAM_REVIEW_IMPLEMENTATION.md</t>
        </is>
      </c>
    </row>
    <row r="29">
      <c r="A29" s="33" t="inlineStr">
        <is>
          <t>F028</t>
        </is>
      </c>
      <c r="B29" s="33" t="inlineStr">
        <is>
          <t>Partial / decision or live evidence pending</t>
        </is>
      </c>
      <c r="C29" s="33" t="inlineStr">
        <is>
          <t>Retain unique per-run DROID CSV names to avoid overwriting earlier reports. Final canonical naming remains a team decision.</t>
        </is>
      </c>
      <c r="D29" s="33" t="inlineStr">
        <is>
          <t>profile_workflow.py; tests/test_team_profile.py; TEAM_REVIEW_IMPLEMENTATION.md</t>
        </is>
      </c>
    </row>
    <row r="30">
      <c r="A30" s="33" t="inlineStr">
        <is>
          <t>F029</t>
        </is>
      </c>
      <c r="B30" s="33" t="inlineStr">
        <is>
          <t>Implemented in draft profile; re-review required</t>
        </is>
      </c>
      <c r="C30" s="33" t="inlineStr">
        <is>
          <t>Event IDs are UUID4, minted once through the registry; never UUID5.</t>
        </is>
      </c>
      <c r="D30" s="33" t="inlineStr">
        <is>
          <t>profile_workflow.py; tests/test_team_profile.py; TEAM_REVIEW_IMPLEMENTATION.md</t>
        </is>
      </c>
    </row>
    <row r="31">
      <c r="A31" s="33" t="inlineStr">
        <is>
          <t>F030</t>
        </is>
      </c>
      <c r="B31" s="33" t="inlineStr">
        <is>
          <t>Implemented in draft profile; re-review required</t>
        </is>
      </c>
      <c r="C31" s="33" t="inlineStr">
        <is>
          <t>Event catalogue types used, including local qualityReview.</t>
        </is>
      </c>
      <c r="D31" s="33" t="inlineStr">
        <is>
          <t>profile_workflow.py; tests/test_team_profile.py; TEAM_REVIEW_IMPLEMENTATION.md</t>
        </is>
      </c>
    </row>
    <row r="32">
      <c r="A32" s="33" t="inlineStr">
        <is>
          <t>F031</t>
        </is>
      </c>
      <c r="B32" s="33" t="inlineStr">
        <is>
          <t>Implemented in draft profile; re-review required</t>
        </is>
      </c>
      <c r="C32" s="33" t="inlineStr">
        <is>
          <t>All profile event times normalized to second-resolution UTC with Z.</t>
        </is>
      </c>
      <c r="D32" s="33" t="inlineStr">
        <is>
          <t>profile_workflow.py; tests/test_team_profile.py; TEAM_REVIEW_IMPLEMENTATION.md</t>
        </is>
      </c>
    </row>
    <row r="33">
      <c r="A33" s="33" t="inlineStr">
        <is>
          <t>F032</t>
        </is>
      </c>
      <c r="B33" s="33" t="inlineStr">
        <is>
          <t>Implemented in draft profile; re-review required</t>
        </is>
      </c>
      <c r="C33" s="33" t="inlineStr">
        <is>
          <t>First event detail names catalogue entry and DPM number; additional details each have their own eventDetailInformation.</t>
        </is>
      </c>
      <c r="D33" s="33" t="inlineStr">
        <is>
          <t>profile_workflow.py; tests/test_team_profile.py; TEAM_REVIEW_IMPLEMENTATION.md</t>
        </is>
      </c>
    </row>
    <row r="34">
      <c r="A34" s="33" t="inlineStr">
        <is>
          <t>F033</t>
        </is>
      </c>
      <c r="B34" s="33" t="inlineStr">
        <is>
          <t>Implemented in draft profile; re-review required</t>
        </is>
      </c>
      <c r="C34" s="33" t="inlineStr">
        <is>
          <t>Only successful operations are projected; eventOutcome=success. Failed gates stay in run/verification records.</t>
        </is>
      </c>
      <c r="D34" s="33" t="inlineStr">
        <is>
          <t>profile_workflow.py; tests/test_team_profile.py; TEAM_REVIEW_IMPLEMENTATION.md</t>
        </is>
      </c>
    </row>
    <row r="35">
      <c r="A35" s="33" t="inlineStr">
        <is>
          <t>F034</t>
        </is>
      </c>
      <c r="B35" s="33" t="inlineStr">
        <is>
          <t>Partial / decision or live evidence pending</t>
        </is>
      </c>
      <c r="C35" s="33" t="inlineStr">
        <is>
          <t>Every event links executing program and authorizer; synthetic operator is clearly marked and rejected by strict mode. Production person registry pending.</t>
        </is>
      </c>
      <c r="D35" s="33" t="inlineStr">
        <is>
          <t>profile_workflow.py; tests/test_team_profile.py; TEAM_REVIEW_IMPLEMENTATION.md</t>
        </is>
      </c>
    </row>
    <row r="36">
      <c r="A36" s="33" t="inlineStr">
        <is>
          <t>F035</t>
        </is>
      </c>
      <c r="B36" s="33" t="inlineStr">
        <is>
          <t>Partial / decision or live evidence pending</t>
        </is>
      </c>
      <c r="C36" s="33" t="inlineStr">
        <is>
          <t>Agent links use registry UUIDs. Provisional registry remains unapproved.</t>
        </is>
      </c>
      <c r="D36" s="33" t="inlineStr">
        <is>
          <t>profile_workflow.py; tests/test_team_profile.py; TEAM_REVIEW_IMPLEMENTATION.md</t>
        </is>
      </c>
    </row>
    <row r="37">
      <c r="A37" s="33" t="inlineStr">
        <is>
          <t>F036</t>
        </is>
      </c>
      <c r="B37" s="33" t="inlineStr">
        <is>
          <t>Implemented in draft profile; re-review required</t>
        </is>
      </c>
      <c r="C37" s="33" t="inlineStr">
        <is>
          <t>Object links use UUIDs and source/outcome roles.</t>
        </is>
      </c>
      <c r="D37" s="33" t="inlineStr">
        <is>
          <t>profile_workflow.py; tests/test_team_profile.py; TEAM_REVIEW_IMPLEMENTATION.md</t>
        </is>
      </c>
    </row>
    <row r="38">
      <c r="A38" s="33" t="inlineStr">
        <is>
          <t>F037</t>
        </is>
      </c>
      <c r="B38" s="33" t="inlineStr">
        <is>
          <t>Implemented in draft profile; re-review required</t>
        </is>
      </c>
      <c r="C38" s="33" t="inlineStr">
        <is>
          <t>Events sorted chronologically; predecessor entities preserved.</t>
        </is>
      </c>
      <c r="D38" s="33" t="inlineStr">
        <is>
          <t>profile_workflow.py; tests/test_team_profile.py; TEAM_REVIEW_IMPLEMENTATION.md</t>
        </is>
      </c>
    </row>
    <row r="39">
      <c r="A39" s="33" t="inlineStr">
        <is>
          <t>F038</t>
        </is>
      </c>
      <c r="B39" s="33" t="inlineStr">
        <is>
          <t>Original disposition retained</t>
        </is>
      </c>
      <c r="C39" s="33" t="inlineStr">
        <is>
          <t>Original review closure/profile issue retained; no implementation closure asserted.</t>
        </is>
      </c>
      <c r="D39" s="33" t="inlineStr">
        <is>
          <t>profile_workflow.py; tests/test_team_profile.py; TEAM_REVIEW_IMPLEMENTATION.md</t>
        </is>
      </c>
    </row>
    <row r="40">
      <c r="A40" s="33" t="inlineStr">
        <is>
          <t>F039</t>
        </is>
      </c>
      <c r="B40" s="33" t="inlineStr">
        <is>
          <t>Implemented in draft profile; re-review required</t>
        </is>
      </c>
      <c r="C40" s="33" t="inlineStr">
        <is>
          <t>One ingestion start for first object version; distinct digest and fixity events per received source.</t>
        </is>
      </c>
      <c r="D40" s="33" t="inlineStr">
        <is>
          <t>profile_workflow.py; tests/test_team_profile.py; TEAM_REVIEW_IMPLEMENTATION.md</t>
        </is>
      </c>
    </row>
    <row r="41">
      <c r="A41" s="33" t="inlineStr">
        <is>
          <t>F040</t>
        </is>
      </c>
      <c r="B41" s="33" t="inlineStr">
        <is>
          <t>Implemented in draft profile; re-review required</t>
        </is>
      </c>
      <c r="C41" s="33" t="inlineStr">
        <is>
          <t>Digest/fixity events on received files; digest event on masters; stable event keys prevent duplicate history.</t>
        </is>
      </c>
      <c r="D41" s="33" t="inlineStr">
        <is>
          <t>profile_workflow.py; tests/test_team_profile.py; TEAM_REVIEW_IMPLEMENTATION.md</t>
        </is>
      </c>
    </row>
    <row r="42">
      <c r="A42" s="33" t="inlineStr">
        <is>
          <t>F041</t>
        </is>
      </c>
      <c r="B42" s="33" t="inlineStr">
        <is>
          <t>Implemented in draft profile; re-review required</t>
        </is>
      </c>
      <c r="C42" s="33" t="inlineStr">
        <is>
          <t>Filename change event for renamed source files.</t>
        </is>
      </c>
      <c r="D42" s="33" t="inlineStr">
        <is>
          <t>profile_workflow.py; tests/test_team_profile.py; TEAM_REVIEW_IMPLEMENTATION.md</t>
        </is>
      </c>
    </row>
    <row r="43">
      <c r="A43" s="33" t="inlineStr">
        <is>
          <t>F042</t>
        </is>
      </c>
      <c r="B43" s="33" t="inlineStr">
        <is>
          <t>Partial / decision or live evidence pending</t>
        </is>
      </c>
      <c r="C43" s="33" t="inlineStr">
        <is>
          <t>Normalization links source, master and retained conversion log; target detail retained. Alteration-detail extraction from actual Aspose log is not implemented; skipped conversion is not falsely called normalization.</t>
        </is>
      </c>
      <c r="D43" s="33" t="inlineStr">
        <is>
          <t>profile_workflow.py; tests/test_team_profile.py; TEAM_REVIEW_IMPLEMENTATION.md</t>
        </is>
      </c>
    </row>
    <row r="44">
      <c r="A44" s="33" t="inlineStr">
        <is>
          <t>F043</t>
        </is>
      </c>
      <c r="B44" s="33" t="inlineStr">
        <is>
          <t>Implemented in draft profile; re-review required</t>
        </is>
      </c>
      <c r="C44" s="33" t="inlineStr">
        <is>
          <t>Confirmed from .csproj and Program.cs: Aspose.PDF for .NET, package 25.10.0. Propose correcting profile C++ references.</t>
        </is>
      </c>
      <c r="D44" s="33" t="inlineStr">
        <is>
          <t>profile_workflow.py; tests/test_team_profile.py; TEAM_REVIEW_IMPLEMENTATION.md</t>
        </is>
      </c>
    </row>
    <row r="45">
      <c r="A45" s="33" t="inlineStr">
        <is>
          <t>F044</t>
        </is>
      </c>
      <c r="B45" s="33" t="inlineStr">
        <is>
          <t>Implemented in draft profile; re-review required</t>
        </is>
      </c>
      <c r="C45" s="33" t="inlineStr">
        <is>
          <t>Validation source/outcome UUIDs and validation_profile: PDF/A-2B.</t>
        </is>
      </c>
      <c r="D45" s="33" t="inlineStr">
        <is>
          <t>profile_workflow.py; tests/test_team_profile.py; TEAM_REVIEW_IMPLEMENTATION.md</t>
        </is>
      </c>
    </row>
    <row r="46">
      <c r="A46" s="33" t="inlineStr">
        <is>
          <t>F045</t>
        </is>
      </c>
      <c r="B46" s="33" t="inlineStr">
        <is>
          <t>Partial / decision or live evidence pending</t>
        </is>
      </c>
      <c r="C46" s="33" t="inlineStr">
        <is>
          <t>Local qualityReview, master source, QA report outcome, sampled:false. Manual adjudication workflow remains outside this implementation.</t>
        </is>
      </c>
      <c r="D46" s="33" t="inlineStr">
        <is>
          <t>profile_workflow.py; tests/test_team_profile.py; TEAM_REVIEW_IMPLEMENTATION.md</t>
        </is>
      </c>
    </row>
    <row r="47">
      <c r="A47" s="33" t="inlineStr">
        <is>
          <t>F046</t>
        </is>
      </c>
      <c r="B47" s="33" t="inlineStr">
        <is>
          <t>Partial / decision or live evidence pending</t>
        </is>
      </c>
      <c r="C47" s="33" t="inlineStr">
        <is>
          <t>Optional post-conversion DROID includes new derived evidence and sources; full identification requires installed tool/signature configuration. Strict mode blocks missing PUIDs.</t>
        </is>
      </c>
      <c r="D47" s="33" t="inlineStr">
        <is>
          <t>profile_workflow.py; tests/test_team_profile.py; TEAM_REVIEW_IMPLEMENTATION.md</t>
        </is>
      </c>
    </row>
    <row r="48">
      <c r="A48" s="33" t="inlineStr">
        <is>
          <t>F047</t>
        </is>
      </c>
      <c r="B48" s="33" t="inlineStr">
        <is>
          <t>Partial / decision or live evidence pending</t>
        </is>
      </c>
      <c r="C48" s="33" t="inlineStr">
        <is>
          <t>Source-only DROID links received source IDs; optional post-conversion identification adds master/evidence IDs. Review still needed for skipped-conversion characterization semantics.</t>
        </is>
      </c>
      <c r="D48" s="33" t="inlineStr">
        <is>
          <t>profile_workflow.py; tests/test_team_profile.py; TEAM_REVIEW_IMPLEMENTATION.md</t>
        </is>
      </c>
    </row>
    <row r="49">
      <c r="A49" s="33" t="inlineStr">
        <is>
          <t>F048</t>
        </is>
      </c>
      <c r="B49" s="33" t="inlineStr">
        <is>
          <t>Implemented in draft profile; re-review required</t>
        </is>
      </c>
      <c r="C49" s="33" t="inlineStr">
        <is>
          <t>DOME creation links IE and DOME output with CatHeaderId now selected from SQL. Missing CatHeaderId is a draft gap.</t>
        </is>
      </c>
      <c r="D49" s="33" t="inlineStr">
        <is>
          <t>profile_workflow.py; tests/test_team_profile.py; TEAM_REVIEW_IMPLEMENTATION.md</t>
        </is>
      </c>
    </row>
    <row r="50">
      <c r="A50" s="33" t="inlineStr">
        <is>
          <t>F049</t>
        </is>
      </c>
      <c r="B50" s="33" t="inlineStr">
        <is>
          <t>Partial / decision or live evidence pending</t>
        </is>
      </c>
      <c r="C50" s="33" t="inlineStr">
        <is>
          <t>SIP creation last on preparation side, sip_id/batch_id/languages/selection_basis details. Selection is proposed from byte/language differences or explicit CLI override; LastDmsAction semantics pending.</t>
        </is>
      </c>
      <c r="D50" s="33" t="inlineStr">
        <is>
          <t>profile_workflow.py; tests/test_team_profile.py; TEAM_REVIEW_IMPLEMENTATION.md</t>
        </is>
      </c>
    </row>
    <row r="51">
      <c r="A51" s="33" t="inlineStr">
        <is>
          <t>F050</t>
        </is>
      </c>
      <c r="B51" s="33" t="inlineStr">
        <is>
          <t>Implemented in draft profile; re-review required</t>
        </is>
      </c>
      <c r="C51" s="33" t="inlineStr">
        <is>
          <t>Ingest copies SIP into workspace, appends DPM112 and DPM113 plus agent descriptions, validates schemas and agreement before OCFL commit. Received bag remains byte-identical.</t>
        </is>
      </c>
      <c r="D51" s="33" t="inlineStr">
        <is>
          <t>profile_workflow.py; tests/test_team_profile.py; TEAM_REVIEW_IMPLEMENTATION.md</t>
        </is>
      </c>
    </row>
    <row r="52">
      <c r="A52" s="33" t="inlineStr">
        <is>
          <t>F051</t>
        </is>
      </c>
      <c r="B52" s="33" t="inlineStr">
        <is>
          <t>Partial / decision or live evidence pending</t>
        </is>
      </c>
      <c r="C52" s="33" t="inlineStr">
        <is>
          <t>Agent UUID/name/type/version/note copied from explicit configuration. Authorizer commit fields checked. Production registry pending.</t>
        </is>
      </c>
      <c r="D52" s="33" t="inlineStr">
        <is>
          <t>profile_workflow.py; tests/test_team_profile.py; TEAM_REVIEW_IMPLEMENTATION.md</t>
        </is>
      </c>
    </row>
    <row r="53">
      <c r="A53" s="33" t="inlineStr">
        <is>
          <t>F052</t>
        </is>
      </c>
      <c r="B53" s="33" t="inlineStr">
        <is>
          <t>Partial / decision or live evidence pending</t>
        </is>
      </c>
      <c r="C53" s="33" t="inlineStr">
        <is>
          <t>Working source SHA-256 fingerprints supplied for scripts; actual Aspose version confirmed. Tagged production releases and DROID signature version still pending.</t>
        </is>
      </c>
      <c r="D53" s="33" t="inlineStr">
        <is>
          <t>profile_workflow.py; tests/test_team_profile.py; TEAM_REVIEW_IMPLEMENTATION.md</t>
        </is>
      </c>
    </row>
    <row r="54">
      <c r="A54" s="33" t="inlineStr">
        <is>
          <t>F053</t>
        </is>
      </c>
      <c r="B54" s="33" t="inlineStr">
        <is>
          <t>Partial / decision or live evidence pending</t>
        </is>
      </c>
      <c r="C54" s="33" t="inlineStr">
        <is>
          <t>Synthetic person agent for tests only. Production operator identity must replace it; strict mode blocks draft config.</t>
        </is>
      </c>
      <c r="D54" s="33" t="inlineStr">
        <is>
          <t>profile_workflow.py; tests/test_team_profile.py; TEAM_REVIEW_IMPLEMENTATION.md</t>
        </is>
      </c>
    </row>
    <row r="55">
      <c r="A55" s="33" t="inlineStr">
        <is>
          <t>F054</t>
        </is>
      </c>
      <c r="B55" s="33" t="inlineStr">
        <is>
          <t>Partial / decision or live evidence pending</t>
        </is>
      </c>
      <c r="C55" s="33" t="inlineStr">
        <is>
          <t>Agents emitted at first event/fixity reference; predecessor order retained. Digest-originator references may precede event reference and need profile-owner confirmation.</t>
        </is>
      </c>
      <c r="D55" s="33" t="inlineStr">
        <is>
          <t>profile_workflow.py; tests/test_team_profile.py; TEAM_REVIEW_IMPLEMENTATION.md</t>
        </is>
      </c>
    </row>
    <row r="56">
      <c r="A56" s="33" t="inlineStr">
        <is>
          <t>F055</t>
        </is>
      </c>
      <c r="B56" s="33" t="inlineStr">
        <is>
          <t>Original disposition retained</t>
        </is>
      </c>
      <c r="C56" s="33" t="inlineStr">
        <is>
          <t>Original review closure/profile issue retained; no implementation closure asserted.</t>
        </is>
      </c>
      <c r="D56" s="33" t="inlineStr">
        <is>
          <t>profile_workflow.py; tests/test_team_profile.py; TEAM_REVIEW_IMPLEMENTATION.md</t>
        </is>
      </c>
    </row>
    <row r="57">
      <c r="A57" s="33" t="inlineStr">
        <is>
          <t>F056</t>
        </is>
      </c>
      <c r="B57" s="33" t="inlineStr">
        <is>
          <t>Implemented in draft profile; re-review required</t>
        </is>
      </c>
      <c r="C57" s="33" t="inlineStr">
        <is>
          <t>Conversion log is a second normalization outcome and dependency/isConversionLogOf with related event UUID.</t>
        </is>
      </c>
      <c r="D57" s="33" t="inlineStr">
        <is>
          <t>profile_workflow.py; tests/test_team_profile.py; TEAM_REVIEW_IMPLEMENTATION.md</t>
        </is>
      </c>
    </row>
    <row r="58">
      <c r="A58" s="33" t="inlineStr">
        <is>
          <t>F057</t>
        </is>
      </c>
      <c r="B58" s="33" t="inlineStr">
        <is>
          <t>Implemented in draft profile; re-review required</t>
        </is>
      </c>
      <c r="C58" s="33" t="inlineStr">
        <is>
          <t>Identifier types are plain UUID/JOB_ID/filepath with no authority attributes.</t>
        </is>
      </c>
      <c r="D58" s="33" t="inlineStr">
        <is>
          <t>profile_workflow.py; tests/test_team_profile.py; TEAM_REVIEW_IMPLEMENTATION.md</t>
        </is>
      </c>
    </row>
    <row r="59">
      <c r="A59" s="33" t="inlineStr">
        <is>
          <t>F058</t>
        </is>
      </c>
      <c r="B59" s="33" t="inlineStr">
        <is>
          <t>Implemented in draft profile; re-review required</t>
        </is>
      </c>
      <c r="C59" s="33" t="inlineStr">
        <is>
          <t>Exact authorized labels includes, is Included In and has Source used.</t>
        </is>
      </c>
      <c r="D59" s="33" t="inlineStr">
        <is>
          <t>profile_workflow.py; tests/test_team_profile.py; TEAM_REVIEW_IMPLEMENTATION.md</t>
        </is>
      </c>
    </row>
    <row r="60">
      <c r="A60" s="33" t="inlineStr">
        <is>
          <t>F059</t>
        </is>
      </c>
      <c r="B60" s="33" t="inlineStr">
        <is>
          <t>Original disposition retained</t>
        </is>
      </c>
      <c r="C60" s="33" t="inlineStr">
        <is>
          <t>Original review closure/profile issue retained; no implementation closure asserted.</t>
        </is>
      </c>
      <c r="D60" s="33" t="inlineStr">
        <is>
          <t>profile_workflow.py; tests/test_team_profile.py; TEAM_REVIEW_IMPLEMENTATION.md</t>
        </is>
      </c>
    </row>
    <row r="61">
      <c r="A61" s="33" t="inlineStr">
        <is>
          <t>F060</t>
        </is>
      </c>
      <c r="B61" s="33" t="inlineStr">
        <is>
          <t>Implemented in draft profile; re-review required</t>
        </is>
      </c>
      <c r="C61" s="33" t="inlineStr">
        <is>
          <t>Read predecessor PREMIS from the repository head; append entities/relationships only. Predecessor head checked by PoC8, PoC9 and again immediately before commit.</t>
        </is>
      </c>
      <c r="D61" s="33" t="inlineStr">
        <is>
          <t>profile_workflow.py; tests/test_team_profile.py; TEAM_REVIEW_IMPLEMENTATION.md</t>
        </is>
      </c>
    </row>
    <row r="62">
      <c r="A62" s="33" t="inlineStr">
        <is>
          <t>F061</t>
        </is>
      </c>
      <c r="B62" s="33" t="inlineStr">
        <is>
          <t>Implemented in draft profile; re-review required</t>
        </is>
      </c>
      <c r="C62" s="33" t="inlineStr">
        <is>
          <t>Superseded objects kept unchanged; payload-history agreement checks path+SHA-512 across all version states.</t>
        </is>
      </c>
      <c r="D62" s="33" t="inlineStr">
        <is>
          <t>profile_workflow.py; tests/test_team_profile.py; TEAM_REVIEW_IMPLEMENTATION.md</t>
        </is>
      </c>
    </row>
    <row r="63">
      <c r="A63" s="33" t="inlineStr">
        <is>
          <t>F062</t>
        </is>
      </c>
      <c r="B63" s="33" t="inlineStr">
        <is>
          <t>Partial / decision or live evidence pending</t>
        </is>
      </c>
      <c r="C63" s="33" t="inlineStr">
        <is>
          <t>Existing source/master/report work reused after fixity checks. SQL extraction and DOME change only with SQL content. Explicit master_reconversion routing remains unimplemented.</t>
        </is>
      </c>
      <c r="D63" s="33" t="inlineStr">
        <is>
          <t>profile_workflow.py; tests/test_team_profile.py; TEAM_REVIEW_IMPLEMENTATION.md</t>
        </is>
      </c>
    </row>
    <row r="64">
      <c r="A64" s="33" t="inlineStr">
        <is>
          <t>F063</t>
        </is>
      </c>
      <c r="B64" s="33" t="inlineStr">
        <is>
          <t>Partial / decision or live evidence pending</t>
        </is>
      </c>
      <c r="C64" s="33" t="inlineStr">
        <is>
          <t>New records capture operation completion timestamps. Legacy record timestamps are fallback approximations; do not claim historical per-operation precision.</t>
        </is>
      </c>
      <c r="D64" s="33" t="inlineStr">
        <is>
          <t>profile_workflow.py; tests/test_team_profile.py; TEAM_REVIEW_IMPLEMENTATION.md</t>
        </is>
      </c>
    </row>
    <row r="65">
      <c r="A65" s="33" t="inlineStr">
        <is>
          <t>F064</t>
        </is>
      </c>
      <c r="B65" s="33" t="inlineStr">
        <is>
          <t>Partial / decision or live evidence pending</t>
        </is>
      </c>
      <c r="C65" s="33" t="inlineStr">
        <is>
          <t>Forward fixes only. No committed production inventory or PREMIS version is rewritten; migration of legacy bare inventory IDs is intentionally rejected in profile mode.</t>
        </is>
      </c>
      <c r="D65" s="33" t="inlineStr">
        <is>
          <t>profile_workflow.py; tests/test_team_profile.py; TEAM_REVIEW_IMPLEMENTATION.md</t>
        </is>
      </c>
    </row>
    <row r="66">
      <c r="A66" s="33" t="inlineStr">
        <is>
          <t>F065</t>
        </is>
      </c>
      <c r="B66" s="33" t="inlineStr">
        <is>
          <t>Implemented in draft profile; re-review required</t>
        </is>
      </c>
      <c r="C66" s="33" t="inlineStr">
        <is>
          <t>Ingestion start only once; digest/fixity events are added only for newly described sources.</t>
        </is>
      </c>
      <c r="D66" s="33" t="inlineStr">
        <is>
          <t>profile_workflow.py; tests/test_team_profile.py; TEAM_REVIEW_IMPLEMENTATION.md</t>
        </is>
      </c>
    </row>
    <row r="67">
      <c r="A67" s="33" t="inlineStr">
        <is>
          <t>F066</t>
        </is>
      </c>
      <c r="B67" s="33" t="inlineStr">
        <is>
          <t>Partial / decision or live evidence pending</t>
        </is>
      </c>
      <c r="C67" s="33" t="inlineStr">
        <is>
          <t>Post-conversion DROID filters to new/changed files; carried files reuse predecessor objects. Source characterization remains a separate pre-conversion check.</t>
        </is>
      </c>
      <c r="D67" s="33" t="inlineStr">
        <is>
          <t>profile_workflow.py; tests/test_team_profile.py; TEAM_REVIEW_IMPLEMENTATION.md</t>
        </is>
      </c>
    </row>
    <row r="68">
      <c r="A68" s="33" t="inlineStr">
        <is>
          <t>F067</t>
        </is>
      </c>
      <c r="B68" s="33" t="inlineStr">
        <is>
          <t>Implemented in draft profile; re-review required</t>
        </is>
      </c>
      <c r="C68" s="33" t="inlineStr">
        <is>
          <t>DOME revision is a metadata modification event with predecessor DOME source and new DOME outcome; stable SQL leaves DOME byte-identical.</t>
        </is>
      </c>
      <c r="D68" s="33" t="inlineStr">
        <is>
          <t>profile_workflow.py; tests/test_team_profile.py; TEAM_REVIEW_IMPLEMENTATION.md</t>
        </is>
      </c>
    </row>
    <row r="69">
      <c r="A69" t="inlineStr">
        <is>
          <t>W01/W02</t>
        </is>
      </c>
      <c r="B69" t="inlineStr">
        <is>
          <t>Design disposition / draft implementation</t>
        </is>
      </c>
      <c r="C69" t="inlineStr">
        <is>
          <t>Reuse unchanged files and SQL/DOME; content comparison, not timestamp-only comparison</t>
        </is>
      </c>
      <c r="D69" t="inlineStr">
        <is>
          <t>TEAM_REVIEW_IMPLEMENTATION.md</t>
        </is>
      </c>
    </row>
    <row r="70">
      <c r="A70" t="inlineStr">
        <is>
          <t>W03/W04</t>
        </is>
      </c>
      <c r="B70" t="inlineStr">
        <is>
          <t>Design disposition / draft implementation</t>
        </is>
      </c>
      <c r="C70" t="inlineStr">
        <is>
          <t>Repository-head PREMIS carry-forward and correction by addition; no historical rewrites</t>
        </is>
      </c>
      <c r="D70" t="inlineStr">
        <is>
          <t>TEAM_REVIEW_IMPLEMENTATION.md</t>
        </is>
      </c>
    </row>
    <row r="71">
      <c r="A71" t="inlineStr">
        <is>
          <t>W05</t>
        </is>
      </c>
      <c r="B71" t="inlineStr">
        <is>
          <t>Design disposition / draft implementation</t>
        </is>
      </c>
      <c r="C71" t="inlineStr">
        <is>
          <t>Source check retained; optional post-conversion characterization of new evidence</t>
        </is>
      </c>
      <c r="D71" t="inlineStr">
        <is>
          <t>TEAM_REVIEW_IMPLEMENTATION.md</t>
        </is>
      </c>
    </row>
    <row r="72">
      <c r="A72" t="inlineStr">
        <is>
          <t>W06</t>
        </is>
      </c>
      <c r="B72" t="inlineStr">
        <is>
          <t>Design disposition / draft implementation</t>
        </is>
      </c>
      <c r="C72" t="inlineStr">
        <is>
          <t>Nine bag-info fields and all identity/predecessor ingest gates implemented</t>
        </is>
      </c>
      <c r="D72" t="inlineStr">
        <is>
          <t>TEAM_REVIEW_IMPLEMENTATION.md</t>
        </is>
      </c>
    </row>
    <row r="73">
      <c r="A73" t="inlineStr">
        <is>
          <t>W07</t>
        </is>
      </c>
      <c r="B73" t="inlineStr">
        <is>
          <t>Design disposition / draft implementation</t>
        </is>
      </c>
      <c r="C73" t="inlineStr">
        <is>
          <t>Profile layout, METS 1, stable canonical DOL names; multiple-file/attachment extensions documented</t>
        </is>
      </c>
      <c r="D73" t="inlineStr">
        <is>
          <t>TEAM_REVIEW_IMPLEMENTATION.md</t>
        </is>
      </c>
    </row>
    <row r="74">
      <c r="A74" t="inlineStr">
        <is>
          <t>W08</t>
        </is>
      </c>
      <c r="B74" t="inlineStr">
        <is>
          <t>Design disposition / draft implementation</t>
        </is>
      </c>
      <c r="C74" t="inlineStr">
        <is>
          <t>File list removed from DOME; changed DOME gets revision provenance</t>
        </is>
      </c>
      <c r="D74" t="inlineStr">
        <is>
          <t>TEAM_REVIEW_IMPLEMENTATION.md</t>
        </is>
      </c>
    </row>
    <row r="75">
      <c r="A75" t="inlineStr">
        <is>
          <t>W09</t>
        </is>
      </c>
      <c r="B75" t="inlineStr">
        <is>
          <t>Design disposition / draft implementation</t>
        </is>
      </c>
      <c r="C75" t="inlineStr">
        <is>
          <t>SQL extract retained by proposal; stable content reused; exact outcome-event policy remains open</t>
        </is>
      </c>
      <c r="D75" t="inlineStr">
        <is>
          <t>TEAM_REVIEW_IMPLEMENTATION.md</t>
        </is>
      </c>
    </row>
    <row r="76">
      <c r="A76" t="inlineStr">
        <is>
          <t>W10</t>
        </is>
      </c>
      <c r="B76" t="inlineStr">
        <is>
          <t>Design disposition / draft implementation</t>
        </is>
      </c>
      <c r="C76" t="inlineStr">
        <is>
          <t>Content-based selection proposal plus override; authoritative LastDmsAction mapping pending</t>
        </is>
      </c>
      <c r="D76" t="inlineStr">
        <is>
          <t>TEAM_REVIEW_IMPLEMENTATION.md</t>
        </is>
      </c>
    </row>
    <row r="77">
      <c r="A77" t="inlineStr">
        <is>
          <t>W11</t>
        </is>
      </c>
      <c r="B77" t="inlineStr">
        <is>
          <t>Design disposition / draft implementation</t>
        </is>
      </c>
      <c r="C77" t="inlineStr">
        <is>
          <t>Existing 44/91 restriction selection preserved; restriction/derestriction policy not invented</t>
        </is>
      </c>
      <c r="D77" t="inlineStr">
        <is>
          <t>TEAM_REVIEW_IMPLEMENTATION.md</t>
        </is>
      </c>
    </row>
    <row r="78">
      <c r="A78" t="inlineStr">
        <is>
          <t>W12</t>
        </is>
      </c>
      <c r="B78" t="inlineStr">
        <is>
          <t>Design disposition / draft implementation</t>
        </is>
      </c>
      <c r="C78" t="inlineStr">
        <is>
          <t>Provisional registry and actual .NET engine; production registry/tool versions pending</t>
        </is>
      </c>
      <c r="D78" t="inlineStr">
        <is>
          <t>TEAM_REVIEW_IMPLEMENTATION.md</t>
        </is>
      </c>
    </row>
    <row r="79">
      <c r="A79" t="inlineStr">
        <is>
          <t>W13</t>
        </is>
      </c>
      <c r="B79" t="inlineStr">
        <is>
          <t>Design disposition / draft implementation</t>
        </is>
      </c>
      <c r="C79" t="inlineStr">
        <is>
          <t>This implementation note records changes; institutional workflow revision still needs team approval</t>
        </is>
      </c>
      <c r="D79" t="inlineStr">
        <is>
          <t>TEAM_REVIEW_IMPLEMENTATION.md</t>
        </is>
      </c>
    </row>
    <row r="80">
      <c r="A80" t="inlineStr">
        <is>
          <t>W14</t>
        </is>
      </c>
      <c r="B80" t="inlineStr">
        <is>
          <t>Design disposition / draft implementation</t>
        </is>
      </c>
      <c r="C80" t="inlineStr">
        <is>
          <t>Unique DROID evidence retained; final approved naming still open</t>
        </is>
      </c>
      <c r="D80" t="inlineStr">
        <is>
          <t>TEAM_REVIEW_IMPLEMENTATION.md</t>
        </is>
      </c>
    </row>
    <row r="81">
      <c r="A81" t="inlineStr">
        <is>
          <t>W15</t>
        </is>
      </c>
      <c r="B81" t="inlineStr">
        <is>
          <t>Design disposition / draft implementation</t>
        </is>
      </c>
      <c r="C81" t="inlineStr">
        <is>
          <t>UUID4 local registry implemented; production registry location/backend approval pending</t>
        </is>
      </c>
      <c r="D81" t="inlineStr">
        <is>
          <t>TEAM_REVIEW_IMPLEMENTATION.md</t>
        </is>
      </c>
    </row>
    <row r="82">
      <c r="A82" t="inlineStr">
        <is>
          <t>W16</t>
        </is>
      </c>
      <c r="B82" t="inlineStr">
        <is>
          <t>Design disposition / draft implementation</t>
        </is>
      </c>
      <c r="C82" t="inlineStr">
        <is>
          <t>Supplied v0.3 schema used; provisional crosswalk; unresolved semantic mappings visible</t>
        </is>
      </c>
      <c r="D82" t="inlineStr">
        <is>
          <t>TEAM_REVIEW_IMPLEMENTATION.md</t>
        </is>
      </c>
    </row>
    <row r="83">
      <c r="A83" t="inlineStr">
        <is>
          <t>W17</t>
        </is>
      </c>
      <c r="B83" t="inlineStr">
        <is>
          <t>Design disposition / draft implementation</t>
        </is>
      </c>
      <c r="C83" t="inlineStr">
        <is>
          <t>METS 1 schema validation and descriptive/preservation sections implemented; final METS business profile still pending</t>
        </is>
      </c>
      <c r="D83" t="inlineStr">
        <is>
          <t>TEAM_REVIEW_IMPLEMENTATION.md</t>
        </is>
      </c>
    </row>
  </sheetData>
  <autoFilter ref="A1:D68"/>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Fratzke, Torsten</dc:creator>
  <dc:language xmlns:dc="http://purl.org/dc/elements/1.1/">en-US</dc:language>
  <dcterms:created xmlns:dcterms="http://purl.org/dc/terms/" xmlns:xsi="http://www.w3.org/2001/XMLSchema-instance" xsi:type="dcterms:W3CDTF">2026-10-09T14:34:02Z</dcterms:created>
  <dcterms:modified xmlns:dcterms="http://purl.org/dc/terms/" xmlns:xsi="http://www.w3.org/2001/XMLSchema-instance" xsi:type="dcterms:W3CDTF">2026-10-12T15:35:08Z</dcterms:modified>
  <cp:lastModifiedBy>Fratzke, Torsten</cp:lastModifiedBy>
  <cp:revision>0</cp:revision>
</cp:coreProperties>
</file>